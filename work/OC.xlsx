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older\Desktop\monthly_report\work\"/>
    </mc:Choice>
  </mc:AlternateContent>
  <bookViews>
    <workbookView xWindow="2595" yWindow="270" windowWidth="12060" windowHeight="10230" tabRatio="787"/>
  </bookViews>
  <sheets>
    <sheet name="AccountClientSumBalance-2" sheetId="126" r:id="rId1"/>
  </sheets>
  <definedNames>
    <definedName name="_xlnm.Print_Area" localSheetId="0">'AccountClientSumBalance-2'!$A:$AI</definedName>
  </definedNames>
  <calcPr calcId="162913" fullCalcOnLoad="1"/>
</workbook>
</file>

<file path=xl/calcChain.xml><?xml version="1.0" encoding="utf-8"?>
<calcChain xmlns="http://schemas.openxmlformats.org/spreadsheetml/2006/main">
  <c r="AH574" i="126" l="1"/>
  <c r="AG574" i="126"/>
  <c r="AG9" i="126"/>
  <c r="AH9" i="126"/>
  <c r="AG10" i="126"/>
  <c r="AH10" i="126"/>
  <c r="AG11" i="126"/>
  <c r="AH11" i="126"/>
  <c r="AG12" i="126"/>
  <c r="AH12" i="126"/>
  <c r="AG13" i="126"/>
  <c r="AH13" i="126"/>
  <c r="AG14" i="126"/>
  <c r="AH14" i="126"/>
  <c r="AG15" i="126"/>
  <c r="AH15" i="126"/>
  <c r="AG16" i="126"/>
  <c r="AH16" i="126"/>
  <c r="AG17" i="126"/>
  <c r="AH17" i="126"/>
  <c r="AG18" i="126"/>
  <c r="AH18" i="126"/>
  <c r="AG19" i="126"/>
  <c r="AH19" i="126"/>
  <c r="AG20" i="126"/>
  <c r="AH20" i="126"/>
  <c r="AG21" i="126"/>
  <c r="AH21" i="126"/>
  <c r="AG22" i="126"/>
  <c r="AH22" i="126"/>
  <c r="AG23" i="126"/>
  <c r="AH23" i="126"/>
  <c r="AG24" i="126"/>
  <c r="AH24" i="126"/>
  <c r="AG25" i="126"/>
  <c r="AH25" i="126"/>
  <c r="AG26" i="126"/>
  <c r="AH26" i="126"/>
  <c r="AG27" i="126"/>
  <c r="AH27" i="126"/>
  <c r="AG28" i="126"/>
  <c r="AH28" i="126"/>
  <c r="AG29" i="126"/>
  <c r="AH29" i="126"/>
  <c r="AG30" i="126"/>
  <c r="AH30" i="126"/>
  <c r="AG31" i="126"/>
  <c r="AH31" i="126"/>
  <c r="AG32" i="126"/>
  <c r="AH32" i="126"/>
  <c r="AG33" i="126"/>
  <c r="AH33" i="126"/>
  <c r="AG34" i="126"/>
  <c r="AH34" i="126"/>
  <c r="AG35" i="126"/>
  <c r="AH35" i="126"/>
  <c r="AG36" i="126"/>
  <c r="AH36" i="126"/>
  <c r="AG37" i="126"/>
  <c r="AH37" i="126"/>
  <c r="AG38" i="126"/>
  <c r="AH38" i="126"/>
  <c r="AG39" i="126"/>
  <c r="AH39" i="126"/>
  <c r="AG40" i="126"/>
  <c r="AH40" i="126"/>
  <c r="AG41" i="126"/>
  <c r="AH41" i="126"/>
  <c r="AG42" i="126"/>
  <c r="AH42" i="126"/>
  <c r="AG43" i="126"/>
  <c r="AH43" i="126"/>
  <c r="AG44" i="126"/>
  <c r="AH44" i="126"/>
  <c r="AG45" i="126"/>
  <c r="AH45" i="126"/>
  <c r="AG46" i="126"/>
  <c r="AH46" i="126"/>
  <c r="AG47" i="126"/>
  <c r="AH47" i="126"/>
  <c r="AG48" i="126"/>
  <c r="AH48" i="126"/>
  <c r="AG49" i="126"/>
  <c r="AH49" i="126"/>
  <c r="AG50" i="126"/>
  <c r="AH50" i="126"/>
  <c r="AG51" i="126"/>
  <c r="AH51" i="126"/>
  <c r="AG52" i="126"/>
  <c r="AH52" i="126"/>
  <c r="AG53" i="126"/>
  <c r="AH53" i="126"/>
  <c r="AG54" i="126"/>
  <c r="AH54" i="126"/>
  <c r="AG55" i="126"/>
  <c r="AH55" i="126"/>
  <c r="AG56" i="126"/>
  <c r="AH56" i="126"/>
  <c r="AG57" i="126"/>
  <c r="AH57" i="126"/>
  <c r="AG58" i="126"/>
  <c r="AH58" i="126"/>
  <c r="AG59" i="126"/>
  <c r="AH59" i="126"/>
  <c r="AG60" i="126"/>
  <c r="AH60" i="126"/>
  <c r="AG61" i="126"/>
  <c r="AH61" i="126"/>
  <c r="AG62" i="126"/>
  <c r="AH62" i="126"/>
  <c r="AG63" i="126"/>
  <c r="AH63" i="126"/>
  <c r="AG64" i="126"/>
  <c r="AH64" i="126"/>
  <c r="AG65" i="126"/>
  <c r="AH65" i="126"/>
  <c r="AG66" i="126"/>
  <c r="AH66" i="126"/>
  <c r="AG67" i="126"/>
  <c r="AH67" i="126"/>
  <c r="AG68" i="126"/>
  <c r="AH68" i="126"/>
  <c r="AG69" i="126"/>
  <c r="AH69" i="126"/>
  <c r="AG70" i="126"/>
  <c r="AH70" i="126"/>
  <c r="AG71" i="126"/>
  <c r="AH71" i="126"/>
  <c r="AG72" i="126"/>
  <c r="AH72" i="126"/>
  <c r="AG73" i="126"/>
  <c r="AH73" i="126"/>
  <c r="AG74" i="126"/>
  <c r="AH74" i="126"/>
  <c r="AG75" i="126"/>
  <c r="AH75" i="126"/>
  <c r="AG76" i="126"/>
  <c r="AH76" i="126"/>
  <c r="AG77" i="126"/>
  <c r="AH77" i="126"/>
  <c r="AG78" i="126"/>
  <c r="AH78" i="126"/>
  <c r="AG79" i="126"/>
  <c r="AH79" i="126"/>
  <c r="AG80" i="126"/>
  <c r="AH80" i="126"/>
  <c r="AG81" i="126"/>
  <c r="AH81" i="126"/>
  <c r="AG82" i="126"/>
  <c r="AH82" i="126"/>
  <c r="AG83" i="126"/>
  <c r="AH83" i="126"/>
  <c r="AG84" i="126"/>
  <c r="AH84" i="126"/>
  <c r="AG85" i="126"/>
  <c r="AH85" i="126"/>
  <c r="AG86" i="126"/>
  <c r="AH86" i="126"/>
  <c r="AG87" i="126"/>
  <c r="AH87" i="126"/>
  <c r="AG88" i="126"/>
  <c r="AH88" i="126"/>
  <c r="AG89" i="126"/>
  <c r="AH89" i="126"/>
  <c r="AG90" i="126"/>
  <c r="AH90" i="126"/>
  <c r="AG91" i="126"/>
  <c r="AH91" i="126"/>
  <c r="AG92" i="126"/>
  <c r="AH92" i="126"/>
  <c r="AG93" i="126"/>
  <c r="AH93" i="126"/>
  <c r="AG94" i="126"/>
  <c r="AH94" i="126"/>
  <c r="AG95" i="126"/>
  <c r="AH95" i="126"/>
  <c r="AG96" i="126"/>
  <c r="AH96" i="126"/>
  <c r="AG97" i="126"/>
  <c r="AH97" i="126"/>
  <c r="AG98" i="126"/>
  <c r="AH98" i="126"/>
  <c r="AG99" i="126"/>
  <c r="AH99" i="126"/>
  <c r="AG100" i="126"/>
  <c r="AH100" i="126"/>
  <c r="AG101" i="126"/>
  <c r="AH101" i="126"/>
  <c r="AG102" i="126"/>
  <c r="AH102" i="126"/>
  <c r="AG103" i="126"/>
  <c r="AH103" i="126"/>
  <c r="AG104" i="126"/>
  <c r="AH104" i="126"/>
  <c r="AG105" i="126"/>
  <c r="AH105" i="126"/>
  <c r="AG106" i="126"/>
  <c r="AH106" i="126"/>
  <c r="AG107" i="126"/>
  <c r="AH107" i="126"/>
  <c r="AG108" i="126"/>
  <c r="AH108" i="126"/>
  <c r="AG109" i="126"/>
  <c r="AH109" i="126"/>
  <c r="AG110" i="126"/>
  <c r="AH110" i="126"/>
  <c r="AG111" i="126"/>
  <c r="AH111" i="126"/>
  <c r="AG112" i="126"/>
  <c r="AH112" i="126"/>
  <c r="AG113" i="126"/>
  <c r="AH113" i="126"/>
  <c r="AG114" i="126"/>
  <c r="AH114" i="126"/>
  <c r="AG115" i="126"/>
  <c r="AH115" i="126"/>
  <c r="AG116" i="126"/>
  <c r="AH116" i="126"/>
  <c r="AG117" i="126"/>
  <c r="AH117" i="126"/>
  <c r="AG118" i="126"/>
  <c r="AH118" i="126"/>
  <c r="AG119" i="126"/>
  <c r="AH119" i="126"/>
  <c r="AG120" i="126"/>
  <c r="AH120" i="126"/>
  <c r="AG121" i="126"/>
  <c r="AH121" i="126"/>
  <c r="AG122" i="126"/>
  <c r="AH122" i="126"/>
  <c r="AG123" i="126"/>
  <c r="AH123" i="126"/>
  <c r="AG124" i="126"/>
  <c r="AH124" i="126"/>
  <c r="AG125" i="126"/>
  <c r="AH125" i="126"/>
  <c r="AG126" i="126"/>
  <c r="AH126" i="126"/>
  <c r="AG127" i="126"/>
  <c r="AH127" i="126"/>
  <c r="AG128" i="126"/>
  <c r="AH128" i="126"/>
  <c r="AG129" i="126"/>
  <c r="AH129" i="126"/>
  <c r="AG130" i="126"/>
  <c r="AH130" i="126"/>
  <c r="AG131" i="126"/>
  <c r="AH131" i="126"/>
  <c r="AG132" i="126"/>
  <c r="AH132" i="126"/>
  <c r="AG133" i="126"/>
  <c r="AH133" i="126"/>
  <c r="AG134" i="126"/>
  <c r="AH134" i="126"/>
  <c r="AG135" i="126"/>
  <c r="AH135" i="126"/>
  <c r="AG136" i="126"/>
  <c r="AH136" i="126"/>
  <c r="AG137" i="126"/>
  <c r="AH137" i="126"/>
  <c r="AG138" i="126"/>
  <c r="AH138" i="126"/>
  <c r="AG139" i="126"/>
  <c r="AH139" i="126"/>
  <c r="AG140" i="126"/>
  <c r="AH140" i="126"/>
  <c r="AG141" i="126"/>
  <c r="AH141" i="126"/>
  <c r="AG142" i="126"/>
  <c r="AH142" i="126"/>
  <c r="AG143" i="126"/>
  <c r="AH143" i="126"/>
  <c r="AG144" i="126"/>
  <c r="AH144" i="126"/>
  <c r="AG145" i="126"/>
  <c r="AH145" i="126"/>
  <c r="AG146" i="126"/>
  <c r="AH146" i="126"/>
  <c r="AG147" i="126"/>
  <c r="AH147" i="126"/>
  <c r="AG148" i="126"/>
  <c r="AH148" i="126"/>
  <c r="AG149" i="126"/>
  <c r="AH149" i="126"/>
  <c r="AG150" i="126"/>
  <c r="AH150" i="126"/>
  <c r="AG151" i="126"/>
  <c r="AH151" i="126"/>
  <c r="AG152" i="126"/>
  <c r="AH152" i="126"/>
  <c r="AG153" i="126"/>
  <c r="AH153" i="126"/>
  <c r="AG154" i="126"/>
  <c r="AH154" i="126"/>
  <c r="AG155" i="126"/>
  <c r="AH155" i="126"/>
  <c r="AG156" i="126"/>
  <c r="AH156" i="126"/>
  <c r="AG157" i="126"/>
  <c r="AH157" i="126"/>
  <c r="AG158" i="126"/>
  <c r="AH158" i="126"/>
  <c r="AG159" i="126"/>
  <c r="AH159" i="126"/>
  <c r="AG160" i="126"/>
  <c r="AH160" i="126"/>
  <c r="AG161" i="126"/>
  <c r="AH161" i="126"/>
  <c r="AG162" i="126"/>
  <c r="AH162" i="126"/>
  <c r="AG163" i="126"/>
  <c r="AH163" i="126"/>
  <c r="AG164" i="126"/>
  <c r="AH164" i="126"/>
  <c r="AG165" i="126"/>
  <c r="AH165" i="126"/>
  <c r="AG166" i="126"/>
  <c r="AH166" i="126"/>
  <c r="AG167" i="126"/>
  <c r="AH167" i="126"/>
  <c r="AG168" i="126"/>
  <c r="AH168" i="126"/>
  <c r="AG169" i="126"/>
  <c r="AH169" i="126"/>
  <c r="AG170" i="126"/>
  <c r="AH170" i="126"/>
  <c r="AG171" i="126"/>
  <c r="AH171" i="126"/>
  <c r="AG172" i="126"/>
  <c r="AH172" i="126"/>
  <c r="AG173" i="126"/>
  <c r="AH173" i="126"/>
  <c r="AG174" i="126"/>
  <c r="AH174" i="126"/>
  <c r="AG175" i="126"/>
  <c r="AH175" i="126"/>
  <c r="AG176" i="126"/>
  <c r="AH176" i="126"/>
  <c r="AG177" i="126"/>
  <c r="AH177" i="126"/>
  <c r="AG178" i="126"/>
  <c r="AH178" i="126"/>
  <c r="AG179" i="126"/>
  <c r="AH179" i="126"/>
  <c r="AG180" i="126"/>
  <c r="AH180" i="126"/>
  <c r="AG181" i="126"/>
  <c r="AH181" i="126"/>
  <c r="AG182" i="126"/>
  <c r="AH182" i="126"/>
  <c r="AG183" i="126"/>
  <c r="AH183" i="126"/>
  <c r="AG184" i="126"/>
  <c r="AH184" i="126"/>
  <c r="AG185" i="126"/>
  <c r="AH185" i="126"/>
  <c r="AG186" i="126"/>
  <c r="AH186" i="126"/>
  <c r="AG187" i="126"/>
  <c r="AH187" i="126"/>
  <c r="AG188" i="126"/>
  <c r="AH188" i="126"/>
  <c r="AG189" i="126"/>
  <c r="AH189" i="126"/>
  <c r="AG190" i="126"/>
  <c r="AH190" i="126"/>
  <c r="AG191" i="126"/>
  <c r="AH191" i="126"/>
  <c r="AG192" i="126"/>
  <c r="AH192" i="126"/>
  <c r="AG193" i="126"/>
  <c r="AH193" i="126"/>
  <c r="AG194" i="126"/>
  <c r="AH194" i="126"/>
  <c r="AG195" i="126"/>
  <c r="AH195" i="126"/>
  <c r="AG196" i="126"/>
  <c r="AH196" i="126"/>
  <c r="AG197" i="126"/>
  <c r="AH197" i="126"/>
  <c r="AG198" i="126"/>
  <c r="AH198" i="126"/>
  <c r="AG199" i="126"/>
  <c r="AH199" i="126"/>
  <c r="AG200" i="126"/>
  <c r="AH200" i="126"/>
  <c r="AG201" i="126"/>
  <c r="AH201" i="126"/>
  <c r="AG202" i="126"/>
  <c r="AH202" i="126"/>
  <c r="AG203" i="126"/>
  <c r="AH203" i="126"/>
  <c r="AG204" i="126"/>
  <c r="AH204" i="126"/>
  <c r="AG205" i="126"/>
  <c r="AH205" i="126"/>
  <c r="AG206" i="126"/>
  <c r="AH206" i="126"/>
  <c r="AG207" i="126"/>
  <c r="AH207" i="126"/>
  <c r="AG208" i="126"/>
  <c r="AH208" i="126"/>
  <c r="AG209" i="126"/>
  <c r="AH209" i="126"/>
  <c r="AG210" i="126"/>
  <c r="AH210" i="126"/>
  <c r="AG211" i="126"/>
  <c r="AH211" i="126"/>
  <c r="AG212" i="126"/>
  <c r="AH212" i="126"/>
  <c r="AG213" i="126"/>
  <c r="AH213" i="126"/>
  <c r="AG214" i="126"/>
  <c r="AH214" i="126"/>
  <c r="AG215" i="126"/>
  <c r="AH215" i="126"/>
  <c r="AG216" i="126"/>
  <c r="AH216" i="126"/>
  <c r="AG217" i="126"/>
  <c r="AH217" i="126"/>
  <c r="AG218" i="126"/>
  <c r="AH218" i="126"/>
  <c r="AG219" i="126"/>
  <c r="AH219" i="126"/>
  <c r="AG220" i="126"/>
  <c r="AH220" i="126"/>
  <c r="AG221" i="126"/>
  <c r="AH221" i="126"/>
  <c r="AG222" i="126"/>
  <c r="AH222" i="126"/>
  <c r="AG223" i="126"/>
  <c r="AH223" i="126"/>
  <c r="AG224" i="126"/>
  <c r="AH224" i="126"/>
  <c r="AG225" i="126"/>
  <c r="AH225" i="126"/>
  <c r="AG226" i="126"/>
  <c r="AH226" i="126"/>
  <c r="AG227" i="126"/>
  <c r="AH227" i="126"/>
  <c r="AG228" i="126"/>
  <c r="AH228" i="126"/>
  <c r="AG229" i="126"/>
  <c r="AH229" i="126"/>
  <c r="AG230" i="126"/>
  <c r="AH230" i="126"/>
  <c r="AG231" i="126"/>
  <c r="AH231" i="126"/>
  <c r="AG232" i="126"/>
  <c r="AH232" i="126"/>
  <c r="AG233" i="126"/>
  <c r="AH233" i="126"/>
  <c r="AG234" i="126"/>
  <c r="AH234" i="126"/>
  <c r="AG235" i="126"/>
  <c r="AH235" i="126"/>
  <c r="AG236" i="126"/>
  <c r="AH236" i="126"/>
  <c r="AG237" i="126"/>
  <c r="AH237" i="126"/>
  <c r="AG238" i="126"/>
  <c r="AH238" i="126"/>
  <c r="AG239" i="126"/>
  <c r="AH239" i="126"/>
  <c r="AG240" i="126"/>
  <c r="AH240" i="126"/>
  <c r="AG241" i="126"/>
  <c r="AH241" i="126"/>
  <c r="AG242" i="126"/>
  <c r="AH242" i="126"/>
  <c r="AG243" i="126"/>
  <c r="AH243" i="126"/>
  <c r="AG244" i="126"/>
  <c r="AH244" i="126"/>
  <c r="AG245" i="126"/>
  <c r="AH245" i="126"/>
  <c r="AG246" i="126"/>
  <c r="AH246" i="126"/>
  <c r="AG247" i="126"/>
  <c r="AH247" i="126"/>
  <c r="AG248" i="126"/>
  <c r="AH248" i="126"/>
  <c r="AG249" i="126"/>
  <c r="AH249" i="126"/>
  <c r="AG250" i="126"/>
  <c r="AH250" i="126"/>
  <c r="AG251" i="126"/>
  <c r="AH251" i="126"/>
  <c r="AG252" i="126"/>
  <c r="AH252" i="126"/>
  <c r="AG253" i="126"/>
  <c r="AH253" i="126"/>
  <c r="AG254" i="126"/>
  <c r="AH254" i="126"/>
  <c r="AG255" i="126"/>
  <c r="AH255" i="126"/>
  <c r="AG256" i="126"/>
  <c r="AH256" i="126"/>
  <c r="AG257" i="126"/>
  <c r="AH257" i="126"/>
  <c r="AG258" i="126"/>
  <c r="AH258" i="126"/>
  <c r="AG259" i="126"/>
  <c r="AH259" i="126"/>
  <c r="AG260" i="126"/>
  <c r="AH260" i="126"/>
  <c r="AG261" i="126"/>
  <c r="AH261" i="126"/>
  <c r="AG262" i="126"/>
  <c r="AH262" i="126"/>
  <c r="AG263" i="126"/>
  <c r="AH263" i="126"/>
  <c r="AG264" i="126"/>
  <c r="AH264" i="126"/>
  <c r="AG265" i="126"/>
  <c r="AH265" i="126"/>
  <c r="AG266" i="126"/>
  <c r="AH266" i="126"/>
  <c r="AG267" i="126"/>
  <c r="AH267" i="126"/>
  <c r="AG268" i="126"/>
  <c r="AH268" i="126"/>
  <c r="AG269" i="126"/>
  <c r="AH269" i="126"/>
  <c r="AG270" i="126"/>
  <c r="AH270" i="126"/>
  <c r="AG271" i="126"/>
  <c r="AH271" i="126"/>
  <c r="AG272" i="126"/>
  <c r="AH272" i="126"/>
  <c r="AG273" i="126"/>
  <c r="AH273" i="126"/>
  <c r="AG274" i="126"/>
  <c r="AH274" i="126"/>
  <c r="AG275" i="126"/>
  <c r="AH275" i="126"/>
  <c r="AG276" i="126"/>
  <c r="AH276" i="126"/>
  <c r="AG277" i="126"/>
  <c r="AH277" i="126"/>
  <c r="AG278" i="126"/>
  <c r="AH278" i="126"/>
  <c r="AG279" i="126"/>
  <c r="AH279" i="126"/>
  <c r="AG280" i="126"/>
  <c r="AH280" i="126"/>
  <c r="AG281" i="126"/>
  <c r="AH281" i="126"/>
  <c r="AG282" i="126"/>
  <c r="AH282" i="126"/>
  <c r="AG283" i="126"/>
  <c r="AH283" i="126"/>
  <c r="AG284" i="126"/>
  <c r="AH284" i="126"/>
  <c r="AG285" i="126"/>
  <c r="AH285" i="126"/>
  <c r="AG286" i="126"/>
  <c r="AH286" i="126"/>
  <c r="AG287" i="126"/>
  <c r="AH287" i="126"/>
  <c r="AG288" i="126"/>
  <c r="AH288" i="126"/>
  <c r="AG289" i="126"/>
  <c r="AH289" i="126"/>
  <c r="AG290" i="126"/>
  <c r="AH290" i="126"/>
  <c r="AG291" i="126"/>
  <c r="AH291" i="126"/>
  <c r="AG292" i="126"/>
  <c r="AH292" i="126"/>
  <c r="AG293" i="126"/>
  <c r="AH293" i="126"/>
  <c r="AG294" i="126"/>
  <c r="AH294" i="126"/>
  <c r="AG295" i="126"/>
  <c r="AH295" i="126"/>
  <c r="AG296" i="126"/>
  <c r="AH296" i="126"/>
  <c r="AG297" i="126"/>
  <c r="AH297" i="126"/>
  <c r="AG298" i="126"/>
  <c r="AH298" i="126"/>
  <c r="AG299" i="126"/>
  <c r="AH299" i="126"/>
  <c r="AG300" i="126"/>
  <c r="AH300" i="126"/>
  <c r="AG301" i="126"/>
  <c r="AH301" i="126"/>
  <c r="AG302" i="126"/>
  <c r="AH302" i="126"/>
  <c r="AG303" i="126"/>
  <c r="AH303" i="126"/>
  <c r="AG304" i="126"/>
  <c r="AH304" i="126"/>
  <c r="AG305" i="126"/>
  <c r="AH305" i="126"/>
  <c r="AG306" i="126"/>
  <c r="AH306" i="126"/>
  <c r="AG307" i="126"/>
  <c r="AH307" i="126"/>
  <c r="AG308" i="126"/>
  <c r="AH308" i="126"/>
  <c r="AG309" i="126"/>
  <c r="AH309" i="126"/>
  <c r="AG310" i="126"/>
  <c r="AH310" i="126"/>
  <c r="AG311" i="126"/>
  <c r="AH311" i="126"/>
  <c r="AG312" i="126"/>
  <c r="AH312" i="126"/>
  <c r="AG313" i="126"/>
  <c r="AH313" i="126"/>
  <c r="AG314" i="126"/>
  <c r="AH314" i="126"/>
  <c r="AG315" i="126"/>
  <c r="AH315" i="126"/>
  <c r="AG316" i="126"/>
  <c r="AH316" i="126"/>
  <c r="AG317" i="126"/>
  <c r="AH317" i="126"/>
  <c r="AG318" i="126"/>
  <c r="AH318" i="126"/>
  <c r="AG319" i="126"/>
  <c r="AH319" i="126"/>
  <c r="AG320" i="126"/>
  <c r="AH320" i="126"/>
  <c r="AG321" i="126"/>
  <c r="AH321" i="126"/>
  <c r="AG322" i="126"/>
  <c r="AH322" i="126"/>
  <c r="AG323" i="126"/>
  <c r="AH323" i="126"/>
  <c r="AG324" i="126"/>
  <c r="AH324" i="126"/>
  <c r="AG325" i="126"/>
  <c r="AH325" i="126"/>
  <c r="AG326" i="126"/>
  <c r="AH326" i="126"/>
  <c r="AG327" i="126"/>
  <c r="AH327" i="126"/>
  <c r="AG328" i="126"/>
  <c r="AH328" i="126"/>
  <c r="AG329" i="126"/>
  <c r="AH329" i="126"/>
  <c r="AG330" i="126"/>
  <c r="AH330" i="126"/>
  <c r="AG331" i="126"/>
  <c r="AH331" i="126"/>
  <c r="AG332" i="126"/>
  <c r="AH332" i="126"/>
  <c r="AG333" i="126"/>
  <c r="AH333" i="126"/>
  <c r="AG334" i="126"/>
  <c r="AH334" i="126"/>
  <c r="AG335" i="126"/>
  <c r="AH335" i="126"/>
  <c r="AG336" i="126"/>
  <c r="AH336" i="126"/>
  <c r="AG337" i="126"/>
  <c r="AH337" i="126"/>
  <c r="AG338" i="126"/>
  <c r="AH338" i="126"/>
  <c r="AG339" i="126"/>
  <c r="AH339" i="126"/>
  <c r="AG340" i="126"/>
  <c r="AH340" i="126"/>
  <c r="AG341" i="126"/>
  <c r="AH341" i="126"/>
  <c r="AG342" i="126"/>
  <c r="AH342" i="126"/>
  <c r="AG343" i="126"/>
  <c r="AH343" i="126"/>
  <c r="AG344" i="126"/>
  <c r="AH344" i="126"/>
  <c r="AG345" i="126"/>
  <c r="AH345" i="126"/>
  <c r="AG346" i="126"/>
  <c r="AH346" i="126"/>
  <c r="AG347" i="126"/>
  <c r="AH347" i="126"/>
  <c r="AG348" i="126"/>
  <c r="AH348" i="126"/>
  <c r="AG349" i="126"/>
  <c r="AH349" i="126"/>
  <c r="AG350" i="126"/>
  <c r="AH350" i="126"/>
  <c r="AG351" i="126"/>
  <c r="AH351" i="126"/>
  <c r="AG352" i="126"/>
  <c r="AH352" i="126"/>
  <c r="AG353" i="126"/>
  <c r="AH353" i="126"/>
  <c r="AG354" i="126"/>
  <c r="AH354" i="126"/>
  <c r="AG355" i="126"/>
  <c r="AH355" i="126"/>
  <c r="AG356" i="126"/>
  <c r="AH356" i="126"/>
  <c r="AG357" i="126"/>
  <c r="AH357" i="126"/>
  <c r="AG358" i="126"/>
  <c r="AH358" i="126"/>
  <c r="AG359" i="126"/>
  <c r="AH359" i="126"/>
  <c r="AG360" i="126"/>
  <c r="AH360" i="126"/>
  <c r="AG361" i="126"/>
  <c r="AH361" i="126"/>
  <c r="AG362" i="126"/>
  <c r="AH362" i="126"/>
  <c r="AG363" i="126"/>
  <c r="AH363" i="126"/>
  <c r="AG364" i="126"/>
  <c r="AH364" i="126"/>
  <c r="AG365" i="126"/>
  <c r="AH365" i="126"/>
  <c r="AG366" i="126"/>
  <c r="AH366" i="126"/>
  <c r="AG367" i="126"/>
  <c r="AH367" i="126"/>
  <c r="AG368" i="126"/>
  <c r="AH368" i="126"/>
  <c r="AG369" i="126"/>
  <c r="AH369" i="126"/>
  <c r="AG370" i="126"/>
  <c r="AH370" i="126"/>
  <c r="AG371" i="126"/>
  <c r="AH371" i="126"/>
  <c r="AG372" i="126"/>
  <c r="AH372" i="126"/>
  <c r="AG373" i="126"/>
  <c r="AH373" i="126"/>
  <c r="AG374" i="126"/>
  <c r="AH374" i="126"/>
  <c r="AG375" i="126"/>
  <c r="AH375" i="126"/>
  <c r="AG376" i="126"/>
  <c r="AH376" i="126"/>
  <c r="AG377" i="126"/>
  <c r="AH377" i="126"/>
  <c r="AG378" i="126"/>
  <c r="AH378" i="126"/>
  <c r="AG379" i="126"/>
  <c r="AH379" i="126"/>
  <c r="AG380" i="126"/>
  <c r="AH380" i="126"/>
  <c r="AG381" i="126"/>
  <c r="AH381" i="126"/>
  <c r="AG382" i="126"/>
  <c r="AH382" i="126"/>
  <c r="AG383" i="126"/>
  <c r="AH383" i="126"/>
  <c r="AG384" i="126"/>
  <c r="AH384" i="126"/>
  <c r="AG385" i="126"/>
  <c r="AH385" i="126"/>
  <c r="AG386" i="126"/>
  <c r="AH386" i="126"/>
  <c r="AG387" i="126"/>
  <c r="AH387" i="126"/>
  <c r="AG388" i="126"/>
  <c r="AH388" i="126"/>
  <c r="AG389" i="126"/>
  <c r="AH389" i="126"/>
  <c r="AG390" i="126"/>
  <c r="AH390" i="126"/>
  <c r="AG391" i="126"/>
  <c r="AH391" i="126"/>
  <c r="AG392" i="126"/>
  <c r="AH392" i="126"/>
  <c r="AG393" i="126"/>
  <c r="AH393" i="126"/>
  <c r="AG394" i="126"/>
  <c r="AH394" i="126"/>
  <c r="AG395" i="126"/>
  <c r="AH395" i="126"/>
  <c r="AG396" i="126"/>
  <c r="AH396" i="126"/>
  <c r="AG397" i="126"/>
  <c r="AH397" i="126"/>
  <c r="AG398" i="126"/>
  <c r="AH398" i="126"/>
  <c r="AG399" i="126"/>
  <c r="AH399" i="126"/>
  <c r="AG400" i="126"/>
  <c r="AH400" i="126"/>
  <c r="AG401" i="126"/>
  <c r="AH401" i="126"/>
  <c r="AG402" i="126"/>
  <c r="AH402" i="126"/>
  <c r="AG403" i="126"/>
  <c r="AH403" i="126"/>
  <c r="AG404" i="126"/>
  <c r="AH404" i="126"/>
  <c r="AG405" i="126"/>
  <c r="AH405" i="126"/>
  <c r="AG406" i="126"/>
  <c r="AH406" i="126"/>
  <c r="AG407" i="126"/>
  <c r="AH407" i="126"/>
  <c r="AG408" i="126"/>
  <c r="AH408" i="126"/>
  <c r="AG409" i="126"/>
  <c r="AH409" i="126"/>
  <c r="AG410" i="126"/>
  <c r="AH410" i="126"/>
  <c r="AG411" i="126"/>
  <c r="AH411" i="126"/>
  <c r="AG412" i="126"/>
  <c r="AH412" i="126"/>
  <c r="AG413" i="126"/>
  <c r="AH413" i="126"/>
  <c r="AG414" i="126"/>
  <c r="AH414" i="126"/>
  <c r="AG415" i="126"/>
  <c r="AH415" i="126"/>
  <c r="AG416" i="126"/>
  <c r="AH416" i="126"/>
  <c r="AG417" i="126"/>
  <c r="AH417" i="126"/>
  <c r="AG418" i="126"/>
  <c r="AH418" i="126"/>
  <c r="AG419" i="126"/>
  <c r="AH419" i="126"/>
  <c r="AG420" i="126"/>
  <c r="AH420" i="126"/>
  <c r="AG421" i="126"/>
  <c r="AH421" i="126"/>
  <c r="AG422" i="126"/>
  <c r="AH422" i="126"/>
  <c r="AG423" i="126"/>
  <c r="AH423" i="126"/>
  <c r="AG424" i="126"/>
  <c r="AH424" i="126"/>
  <c r="AG425" i="126"/>
  <c r="AH425" i="126"/>
  <c r="AG426" i="126"/>
  <c r="AH426" i="126"/>
  <c r="AG427" i="126"/>
  <c r="AH427" i="126"/>
  <c r="AG428" i="126"/>
  <c r="AH428" i="126"/>
  <c r="AG429" i="126"/>
  <c r="AH429" i="126"/>
  <c r="AG430" i="126"/>
  <c r="AH430" i="126"/>
  <c r="AG431" i="126"/>
  <c r="AH431" i="126"/>
  <c r="AG432" i="126"/>
  <c r="AH432" i="126"/>
  <c r="AG433" i="126"/>
  <c r="AH433" i="126"/>
  <c r="AG434" i="126"/>
  <c r="AH434" i="126"/>
  <c r="AG435" i="126"/>
  <c r="AH435" i="126"/>
  <c r="AG436" i="126"/>
  <c r="AH436" i="126"/>
  <c r="AG437" i="126"/>
  <c r="AH437" i="126"/>
  <c r="AG438" i="126"/>
  <c r="AH438" i="126"/>
  <c r="AG439" i="126"/>
  <c r="AH439" i="126"/>
  <c r="AG440" i="126"/>
  <c r="AH440" i="126"/>
  <c r="AG441" i="126"/>
  <c r="AH441" i="126"/>
  <c r="AG442" i="126"/>
  <c r="AH442" i="126"/>
  <c r="AG443" i="126"/>
  <c r="AH443" i="126"/>
  <c r="AG444" i="126"/>
  <c r="AH444" i="126"/>
  <c r="AG445" i="126"/>
  <c r="AH445" i="126"/>
  <c r="AG446" i="126"/>
  <c r="AH446" i="126"/>
  <c r="AG447" i="126"/>
  <c r="AH447" i="126"/>
  <c r="AG448" i="126"/>
  <c r="AH448" i="126"/>
  <c r="AG449" i="126"/>
  <c r="AH449" i="126"/>
  <c r="AG450" i="126"/>
  <c r="AH450" i="126"/>
  <c r="AG451" i="126"/>
  <c r="AH451" i="126"/>
  <c r="AG452" i="126"/>
  <c r="AH452" i="126"/>
  <c r="AG453" i="126"/>
  <c r="AH453" i="126"/>
  <c r="AG454" i="126"/>
  <c r="AH454" i="126"/>
  <c r="AG455" i="126"/>
  <c r="AH455" i="126"/>
  <c r="AG456" i="126"/>
  <c r="AH456" i="126"/>
  <c r="AG457" i="126"/>
  <c r="AH457" i="126"/>
  <c r="AG458" i="126"/>
  <c r="AH458" i="126"/>
  <c r="AG459" i="126"/>
  <c r="AH459" i="126"/>
  <c r="AG460" i="126"/>
  <c r="AH460" i="126"/>
  <c r="AG461" i="126"/>
  <c r="AH461" i="126"/>
  <c r="AG462" i="126"/>
  <c r="AH462" i="126"/>
  <c r="AG463" i="126"/>
  <c r="AH463" i="126"/>
  <c r="AG464" i="126"/>
  <c r="AH464" i="126"/>
  <c r="AG465" i="126"/>
  <c r="AH465" i="126"/>
  <c r="AG466" i="126"/>
  <c r="AH466" i="126"/>
  <c r="AG467" i="126"/>
  <c r="AH467" i="126"/>
  <c r="AG468" i="126"/>
  <c r="AH468" i="126"/>
  <c r="AG469" i="126"/>
  <c r="AH469" i="126"/>
  <c r="AG470" i="126"/>
  <c r="AH470" i="126"/>
  <c r="AG471" i="126"/>
  <c r="AH471" i="126"/>
  <c r="AG472" i="126"/>
  <c r="AH472" i="126"/>
  <c r="AG473" i="126"/>
  <c r="AH473" i="126"/>
  <c r="AG474" i="126"/>
  <c r="AH474" i="126"/>
  <c r="AG475" i="126"/>
  <c r="AH475" i="126"/>
  <c r="AG476" i="126"/>
  <c r="AH476" i="126"/>
  <c r="AG477" i="126"/>
  <c r="AH477" i="126"/>
  <c r="AG478" i="126"/>
  <c r="AH478" i="126"/>
  <c r="AG479" i="126"/>
  <c r="AH479" i="126"/>
  <c r="AG480" i="126"/>
  <c r="AH480" i="126"/>
  <c r="AG481" i="126"/>
  <c r="AH481" i="126"/>
  <c r="AG482" i="126"/>
  <c r="AH482" i="126"/>
  <c r="AG483" i="126"/>
  <c r="AH483" i="126"/>
  <c r="AG484" i="126"/>
  <c r="AH484" i="126"/>
  <c r="AG485" i="126"/>
  <c r="AH485" i="126"/>
  <c r="AG486" i="126"/>
  <c r="AH486" i="126"/>
  <c r="AG487" i="126"/>
  <c r="AH487" i="126"/>
  <c r="AG488" i="126"/>
  <c r="AH488" i="126"/>
  <c r="AG489" i="126"/>
  <c r="AH489" i="126"/>
  <c r="AG490" i="126"/>
  <c r="AH490" i="126"/>
  <c r="AG491" i="126"/>
  <c r="AH491" i="126"/>
  <c r="AG492" i="126"/>
  <c r="AH492" i="126"/>
  <c r="AG493" i="126"/>
  <c r="AH493" i="126"/>
  <c r="AG494" i="126"/>
  <c r="AH494" i="126"/>
  <c r="AG495" i="126"/>
  <c r="AH495" i="126"/>
  <c r="AG496" i="126"/>
  <c r="AH496" i="126"/>
  <c r="AG497" i="126"/>
  <c r="AH497" i="126"/>
  <c r="AG498" i="126"/>
  <c r="AH498" i="126"/>
  <c r="AG499" i="126"/>
  <c r="AH499" i="126"/>
  <c r="AG500" i="126"/>
  <c r="AH500" i="126"/>
  <c r="AG501" i="126"/>
  <c r="AH501" i="126"/>
  <c r="AG502" i="126"/>
  <c r="AH502" i="126"/>
  <c r="AG503" i="126"/>
  <c r="AH503" i="126"/>
  <c r="AG504" i="126"/>
  <c r="AH504" i="126"/>
  <c r="AG505" i="126"/>
  <c r="AH505" i="126"/>
  <c r="AG506" i="126"/>
  <c r="AH506" i="126"/>
  <c r="AG507" i="126"/>
  <c r="AH507" i="126"/>
  <c r="AG508" i="126"/>
  <c r="AH508" i="126"/>
  <c r="AG509" i="126"/>
  <c r="AH509" i="126"/>
  <c r="AG510" i="126"/>
  <c r="AH510" i="126"/>
  <c r="AG511" i="126"/>
  <c r="AH511" i="126"/>
  <c r="AG512" i="126"/>
  <c r="AH512" i="126"/>
  <c r="AG513" i="126"/>
  <c r="AH513" i="126"/>
  <c r="AG514" i="126"/>
  <c r="AH514" i="126"/>
  <c r="AG515" i="126"/>
  <c r="AH515" i="126"/>
  <c r="AG516" i="126"/>
  <c r="AH516" i="126"/>
  <c r="AG517" i="126"/>
  <c r="AH517" i="126"/>
  <c r="AG518" i="126"/>
  <c r="AH518" i="126"/>
  <c r="AG519" i="126"/>
  <c r="AH519" i="126"/>
  <c r="AG520" i="126"/>
  <c r="AH520" i="126"/>
  <c r="AG521" i="126"/>
  <c r="AH521" i="126"/>
  <c r="AG522" i="126"/>
  <c r="AH522" i="126"/>
  <c r="AG523" i="126"/>
  <c r="AH523" i="126"/>
  <c r="AG524" i="126"/>
  <c r="AH524" i="126"/>
  <c r="AG525" i="126"/>
  <c r="AH525" i="126"/>
  <c r="AG526" i="126"/>
  <c r="AH526" i="126"/>
  <c r="AG527" i="126"/>
  <c r="AH527" i="126"/>
  <c r="AG528" i="126"/>
  <c r="AH528" i="126"/>
  <c r="AG529" i="126"/>
  <c r="AH529" i="126"/>
  <c r="AG530" i="126"/>
  <c r="AH530" i="126"/>
  <c r="AG531" i="126"/>
  <c r="AH531" i="126"/>
  <c r="AG532" i="126"/>
  <c r="AH532" i="126"/>
  <c r="AG533" i="126"/>
  <c r="AH533" i="126"/>
  <c r="AG534" i="126"/>
  <c r="AH534" i="126"/>
  <c r="AG535" i="126"/>
  <c r="AH535" i="126"/>
  <c r="AG536" i="126"/>
  <c r="AH536" i="126"/>
  <c r="AG537" i="126"/>
  <c r="AH537" i="126"/>
  <c r="AG538" i="126"/>
  <c r="AH538" i="126"/>
  <c r="AG539" i="126"/>
  <c r="AH539" i="126"/>
  <c r="AG540" i="126"/>
  <c r="AH540" i="126"/>
  <c r="AG541" i="126"/>
  <c r="AH541" i="126"/>
  <c r="AG542" i="126"/>
  <c r="AH542" i="126"/>
  <c r="AG543" i="126"/>
  <c r="AH543" i="126"/>
  <c r="AG544" i="126"/>
  <c r="AH544" i="126"/>
  <c r="AG545" i="126"/>
  <c r="AH545" i="126"/>
  <c r="AG546" i="126"/>
  <c r="AH546" i="126"/>
  <c r="AG547" i="126"/>
  <c r="AH547" i="126"/>
  <c r="AG548" i="126"/>
  <c r="AH548" i="126"/>
  <c r="AG549" i="126"/>
  <c r="AH549" i="126"/>
  <c r="AG550" i="126"/>
  <c r="AH550" i="126"/>
  <c r="AG551" i="126"/>
  <c r="AH551" i="126"/>
  <c r="AG552" i="126"/>
  <c r="AH552" i="126"/>
  <c r="AG553" i="126"/>
  <c r="AH553" i="126"/>
  <c r="AG554" i="126"/>
  <c r="AH554" i="126"/>
  <c r="AG555" i="126"/>
  <c r="AH555" i="126"/>
  <c r="AG556" i="126"/>
  <c r="AH556" i="126"/>
  <c r="AG557" i="126"/>
  <c r="AH557" i="126"/>
  <c r="AG558" i="126"/>
  <c r="AH558" i="126"/>
  <c r="AG559" i="126"/>
  <c r="AH559" i="126"/>
  <c r="AG560" i="126"/>
  <c r="AH560" i="126"/>
  <c r="AG561" i="126"/>
  <c r="AH561" i="126"/>
  <c r="AG562" i="126"/>
  <c r="AH562" i="126"/>
  <c r="AG563" i="126"/>
  <c r="AH563" i="126"/>
  <c r="AG564" i="126"/>
  <c r="AH564" i="126"/>
  <c r="AG565" i="126"/>
  <c r="AH565" i="126"/>
  <c r="AG566" i="126"/>
  <c r="AH566" i="126"/>
  <c r="AG567" i="126"/>
  <c r="AH567" i="126"/>
  <c r="AG568" i="126"/>
  <c r="AH568" i="126"/>
  <c r="AG569" i="126"/>
  <c r="AH569" i="126"/>
  <c r="AG570" i="126"/>
  <c r="AH570" i="126"/>
  <c r="AG571" i="126"/>
  <c r="AH571" i="126"/>
  <c r="AG572" i="126"/>
  <c r="AH572" i="126"/>
  <c r="AG573" i="126"/>
  <c r="AH573" i="126"/>
  <c r="F574" i="126"/>
  <c r="G574" i="126"/>
  <c r="H574" i="126"/>
  <c r="I574" i="126"/>
  <c r="J574" i="126"/>
  <c r="K574" i="126"/>
  <c r="L574" i="126"/>
  <c r="M574" i="126"/>
  <c r="N574" i="126"/>
  <c r="O574" i="126"/>
  <c r="P574" i="126"/>
  <c r="Q574" i="126"/>
  <c r="R574" i="126"/>
  <c r="S574" i="126"/>
  <c r="T574" i="126"/>
  <c r="U574" i="126"/>
  <c r="V574" i="126"/>
  <c r="W574" i="126"/>
  <c r="X574" i="126"/>
  <c r="Y574" i="126"/>
  <c r="Z574" i="126"/>
  <c r="AA574" i="126"/>
  <c r="AB574" i="126"/>
  <c r="AC574" i="126"/>
  <c r="AD574" i="126"/>
  <c r="AE574" i="126"/>
  <c r="AF574" i="126"/>
</calcChain>
</file>

<file path=xl/sharedStrings.xml><?xml version="1.0" encoding="utf-8"?>
<sst xmlns="http://schemas.openxmlformats.org/spreadsheetml/2006/main" count="1183" uniqueCount="1161">
  <si>
    <t>№</t>
  </si>
  <si>
    <t>Сформировал: Администратор</t>
  </si>
  <si>
    <t>Обороты по счетам клиентов-2 (суммарные) (Фирмы) с 01.01.2026 0:00:00 по 31.01.2026 23:59:59</t>
  </si>
  <si>
    <t>Клиент</t>
  </si>
  <si>
    <t>ИНН</t>
  </si>
  <si>
    <t>Услуги</t>
  </si>
  <si>
    <t>Начислено денежных средств, Рубли</t>
  </si>
  <si>
    <t>Пополнено всего</t>
  </si>
  <si>
    <t>Итого сумма, Рубли</t>
  </si>
  <si>
    <t>ГАЗ</t>
  </si>
  <si>
    <t>Дт</t>
  </si>
  <si>
    <t>Мойка</t>
  </si>
  <si>
    <t>Аи-92</t>
  </si>
  <si>
    <t>Аи-95</t>
  </si>
  <si>
    <t>АИ 98</t>
  </si>
  <si>
    <t>ДТ-Евро</t>
  </si>
  <si>
    <t>Аи-92 эво</t>
  </si>
  <si>
    <t>Аи-95 эво</t>
  </si>
  <si>
    <t>Магазин</t>
  </si>
  <si>
    <t>КПГ</t>
  </si>
  <si>
    <t>Аи-100</t>
  </si>
  <si>
    <t>Товары</t>
  </si>
  <si>
    <t>Итого пополн., литры</t>
  </si>
  <si>
    <t>Сумма, Рубли</t>
  </si>
  <si>
    <t>Итого пополн., рубли</t>
  </si>
  <si>
    <t>Итого пополн., куб. м.</t>
  </si>
  <si>
    <t>[70] ООО "ТД "Ван-Маркет"</t>
  </si>
  <si>
    <t>5036097210</t>
  </si>
  <si>
    <t>[73] ОАО "ПМК-15"</t>
  </si>
  <si>
    <t>5074001230</t>
  </si>
  <si>
    <t>[97] ООО ОО "МЕГАПОЛИС"</t>
  </si>
  <si>
    <t>5036106553</t>
  </si>
  <si>
    <t>[101] ООО "АВТОРУСЬ Ф"</t>
  </si>
  <si>
    <t>5051320826</t>
  </si>
  <si>
    <t>[103] АО "Подольскагропромснаб"</t>
  </si>
  <si>
    <t>5074000075</t>
  </si>
  <si>
    <t>[110] ООО "Быковское ПО"</t>
  </si>
  <si>
    <t>7730633880</t>
  </si>
  <si>
    <t>[121] ООО "Луневобытсервис"</t>
  </si>
  <si>
    <t>5044092880</t>
  </si>
  <si>
    <t>[128] ООО "Санти"</t>
  </si>
  <si>
    <t>7702371288</t>
  </si>
  <si>
    <t>[157] ООО "Смарт"</t>
  </si>
  <si>
    <t>7735521757</t>
  </si>
  <si>
    <t>[183] ООО " ПрофильДоорс "</t>
  </si>
  <si>
    <t>5074114435</t>
  </si>
  <si>
    <t>[196] ООО " Стройсфера  XXI "</t>
  </si>
  <si>
    <t>7714243026</t>
  </si>
  <si>
    <t>[207] ООО " ОП "СпН Центр "</t>
  </si>
  <si>
    <t>5031049799</t>
  </si>
  <si>
    <t>[243] ООО " Сходня-Гранд "</t>
  </si>
  <si>
    <t>5047035978</t>
  </si>
  <si>
    <t>[324] ООО "Экструзионные технологии"</t>
  </si>
  <si>
    <t>5022558655</t>
  </si>
  <si>
    <t>[334] ООО "Агропромтех"</t>
  </si>
  <si>
    <t>5074044450</t>
  </si>
  <si>
    <t>[374] АО "Подольск-Цемент"</t>
  </si>
  <si>
    <t>5036013250</t>
  </si>
  <si>
    <t>[434] ООО "Времянеждёт"</t>
  </si>
  <si>
    <t>7724791952</t>
  </si>
  <si>
    <t>[445] ООО "ТД Метрика"</t>
  </si>
  <si>
    <t>7726552847</t>
  </si>
  <si>
    <t>[456] ООО "КЭМП-Заборье"</t>
  </si>
  <si>
    <t>5009045990</t>
  </si>
  <si>
    <t>[534] ООО "Кедр"</t>
  </si>
  <si>
    <t>5036084116</t>
  </si>
  <si>
    <t>[539] ООО "Рус-Папир"</t>
  </si>
  <si>
    <t>5017097550</t>
  </si>
  <si>
    <t>[555] ООО "СК Микон"</t>
  </si>
  <si>
    <t>5027125623</t>
  </si>
  <si>
    <t>[597] ОАО"МЭТЗ" Технопарк «Новое Время» (АО)</t>
  </si>
  <si>
    <t>5029008932</t>
  </si>
  <si>
    <t>[619] Климовский АТК</t>
  </si>
  <si>
    <t>5074003982</t>
  </si>
  <si>
    <t>[657] ООО "ВЕСТА"</t>
  </si>
  <si>
    <t>5007061964</t>
  </si>
  <si>
    <t>[673] ООО"Произ.-ком фирма "КИТ-П 2000"</t>
  </si>
  <si>
    <t>5074021621</t>
  </si>
  <si>
    <t>[723] ООО "Домат-Д"</t>
  </si>
  <si>
    <t>3111505080</t>
  </si>
  <si>
    <t>[735] ООО"ОхранноеПредприятие АЛЬТАИР"</t>
  </si>
  <si>
    <t>7701140947</t>
  </si>
  <si>
    <t>[743] ООО "Декор"</t>
  </si>
  <si>
    <t>7707609512</t>
  </si>
  <si>
    <t>[746] АО "НИИ НПО "ЛУЧ"</t>
  </si>
  <si>
    <t>5036005308</t>
  </si>
  <si>
    <t>[780] ИП Поздняков А.В.</t>
  </si>
  <si>
    <t>503805624392</t>
  </si>
  <si>
    <t>[781] ООО "Мытищинский трубный завод"</t>
  </si>
  <si>
    <t>5029164787</t>
  </si>
  <si>
    <t>[808] ООО "Мособлбыт-Мытищи"</t>
  </si>
  <si>
    <t>5029085221</t>
  </si>
  <si>
    <t>[813] ООО "Подольские металлы"</t>
  </si>
  <si>
    <t>5074021090</t>
  </si>
  <si>
    <t>[814] ООО "ЧОП "Барьер - 2000"</t>
  </si>
  <si>
    <t>5038033798</t>
  </si>
  <si>
    <t>[849] ООО "КРАФТ ТУЛС"</t>
  </si>
  <si>
    <t>7719857421</t>
  </si>
  <si>
    <t>[863] ООО "МОСВТОР"</t>
  </si>
  <si>
    <t>7735598936</t>
  </si>
  <si>
    <t>[869] ООО "РЫБХОЗ НАРСКИЕ ОСТРОВА"</t>
  </si>
  <si>
    <t>5032065232</t>
  </si>
  <si>
    <t>[884] ООО "Альянс-Н"</t>
  </si>
  <si>
    <t>7731483740</t>
  </si>
  <si>
    <t>[903] ООО "ЭП КЕДР"</t>
  </si>
  <si>
    <t>7725640177</t>
  </si>
  <si>
    <t>[904] ООО "САУЗЕНД"</t>
  </si>
  <si>
    <t>7723136630</t>
  </si>
  <si>
    <t>[909] " НИЛЕД" ООО</t>
  </si>
  <si>
    <t>5036078497</t>
  </si>
  <si>
    <t>[933] ООО "ТехСтройСервис"</t>
  </si>
  <si>
    <t>9701009819</t>
  </si>
  <si>
    <t>[938] ООО "Логистика Сервис"</t>
  </si>
  <si>
    <t>5074053239</t>
  </si>
  <si>
    <t>[960] ООО "ПОТОК 13"</t>
  </si>
  <si>
    <t>7716752251</t>
  </si>
  <si>
    <t>[1008] ЧОП «Скорпион»</t>
  </si>
  <si>
    <t>5027059748</t>
  </si>
  <si>
    <t>[1011] ООО "Орбита" Подольск</t>
  </si>
  <si>
    <t>5036128451</t>
  </si>
  <si>
    <t>[1029] ООО "ФЛАЙФУД"</t>
  </si>
  <si>
    <t>7707831796</t>
  </si>
  <si>
    <t>[1034] ООО "21 век Юг"</t>
  </si>
  <si>
    <t>5036126013</t>
  </si>
  <si>
    <t>[1044] Профсоюз работников АТ и ДХ МО</t>
  </si>
  <si>
    <t>7718093004</t>
  </si>
  <si>
    <t>[1080] ООО "Зеленая Роща-Сервис"</t>
  </si>
  <si>
    <t>5032194460</t>
  </si>
  <si>
    <t>[1081] ООО "Аква Сервис"</t>
  </si>
  <si>
    <t>7705612950</t>
  </si>
  <si>
    <t>[1097] ООО "Феникс Групп"</t>
  </si>
  <si>
    <t>5029169633</t>
  </si>
  <si>
    <t>[1100] АНО НПОДО "УЦ "Автопилот"</t>
  </si>
  <si>
    <t>5029045317</t>
  </si>
  <si>
    <t>[1108] ООО "АгроПродукт"</t>
  </si>
  <si>
    <t>5007082749</t>
  </si>
  <si>
    <t>[1124] ООО "Топпостерс"</t>
  </si>
  <si>
    <t>9717013112</t>
  </si>
  <si>
    <t>[1131] ООО "АГРОСЕРВИС-ПЛЮС"</t>
  </si>
  <si>
    <t>5013050030</t>
  </si>
  <si>
    <t>[1140] ООО "ЛИФТЕК"</t>
  </si>
  <si>
    <t>5003102112</t>
  </si>
  <si>
    <t>[1145] ООО "ДЕЛЬТА-С"</t>
  </si>
  <si>
    <t>5074016519</t>
  </si>
  <si>
    <t>[1163] ООО "Соджиц"</t>
  </si>
  <si>
    <t>7703358811</t>
  </si>
  <si>
    <t>[1166] ООО "ССК ВОО"</t>
  </si>
  <si>
    <t>7721194517</t>
  </si>
  <si>
    <t>[1184] АО "АгроТрейдИнвест"</t>
  </si>
  <si>
    <t>7709503222</t>
  </si>
  <si>
    <t>[1202] ООО "СпецПромТкань"</t>
  </si>
  <si>
    <t>7722690050</t>
  </si>
  <si>
    <t>[1222] OOO "Терминал Березовый"</t>
  </si>
  <si>
    <t>5001038172</t>
  </si>
  <si>
    <t>[1261] ООО "Компания ДИЛАЙТ"</t>
  </si>
  <si>
    <t>7726705596</t>
  </si>
  <si>
    <t>[1265] ООО "ЛЕНТА ПЛЮС"</t>
  </si>
  <si>
    <t>7726730553</t>
  </si>
  <si>
    <t>[1339] АО "Бисеровский рыбокомбинат"</t>
  </si>
  <si>
    <t>5031017204</t>
  </si>
  <si>
    <t>[1363] ООО "Котельно-строительная компания" КСК</t>
  </si>
  <si>
    <t>7721283100</t>
  </si>
  <si>
    <t>[1383] ООО "Пожтехзащита"</t>
  </si>
  <si>
    <t>7702398610</t>
  </si>
  <si>
    <t>[1399] ООО "Вилан Строй"</t>
  </si>
  <si>
    <t>7706269768</t>
  </si>
  <si>
    <t>[1402] ООО "ПроектСтройСервис"</t>
  </si>
  <si>
    <t>7721482836</t>
  </si>
  <si>
    <t>[1411] ООО "ОП "СпН Пушкино"</t>
  </si>
  <si>
    <t>5038065983</t>
  </si>
  <si>
    <t>[1432] ООО "Рикам+"</t>
  </si>
  <si>
    <t>5029220294</t>
  </si>
  <si>
    <t>[1440] ООО "Ольга Ромашко"</t>
  </si>
  <si>
    <t>7734539952</t>
  </si>
  <si>
    <t>[1442] ООО "ТЕХНОХИМ"</t>
  </si>
  <si>
    <t>7716811429</t>
  </si>
  <si>
    <t>[1446] ООО "ЛЛ" ЛИСТ Ложистик</t>
  </si>
  <si>
    <t>5009096345</t>
  </si>
  <si>
    <t>[1450] ООО Павловские тепловые сети</t>
  </si>
  <si>
    <t>7731286277</t>
  </si>
  <si>
    <t>[1452] ООО "Инвест текстиль"</t>
  </si>
  <si>
    <t>7719764103</t>
  </si>
  <si>
    <t>[1471] ООО "СУ-91"</t>
  </si>
  <si>
    <t>7713659945</t>
  </si>
  <si>
    <t>[1521] ООО "ИНДИКОМ"</t>
  </si>
  <si>
    <t>5018143591</t>
  </si>
  <si>
    <t>[1527] ООО "ПРОАВТО"</t>
  </si>
  <si>
    <t>7720349422</t>
  </si>
  <si>
    <t>[1529] ООО "ЖК 9"</t>
  </si>
  <si>
    <t>5027122559</t>
  </si>
  <si>
    <t>[1542] АО " ЗАГОРСКИЙ ТРУБНЫЙ ЗАВОД"</t>
  </si>
  <si>
    <t>7720613388</t>
  </si>
  <si>
    <t>[1543] ООО "ЛегионСтеклоПласт"</t>
  </si>
  <si>
    <t>7726665311</t>
  </si>
  <si>
    <t>[1546] ООО "СТРОЙЖИЛИНВЕСТ"</t>
  </si>
  <si>
    <t>5008031105</t>
  </si>
  <si>
    <t>[1551] ИП Кужелев А.А.</t>
  </si>
  <si>
    <t>771518375501</t>
  </si>
  <si>
    <t>[1555] ООО "ПМК-167"</t>
  </si>
  <si>
    <t>7725620340</t>
  </si>
  <si>
    <t>[1556] ООО "ЭЛЕКТРОХОЛДИНГ"</t>
  </si>
  <si>
    <t>7728769073</t>
  </si>
  <si>
    <t>[1560] ИП Агеев Д.М.</t>
  </si>
  <si>
    <t>503600303870</t>
  </si>
  <si>
    <t>[1571] ООО "Буньково Менеджмент"</t>
  </si>
  <si>
    <t>5031098228</t>
  </si>
  <si>
    <t>[1583] ООО "СТРОИТЕЛЬ"</t>
  </si>
  <si>
    <t>5029208201</t>
  </si>
  <si>
    <t>[1587] ООО "Стройсанвент"</t>
  </si>
  <si>
    <t>7725202293</t>
  </si>
  <si>
    <t>[1597] ООО "ПТК Железный Феликс"</t>
  </si>
  <si>
    <t>9718025840</t>
  </si>
  <si>
    <t>[1624] ООО "ПАШТЕЛЬКИ"</t>
  </si>
  <si>
    <t>9710035621</t>
  </si>
  <si>
    <t>[1635] ООО "САВВА"</t>
  </si>
  <si>
    <t>5031128056</t>
  </si>
  <si>
    <t>[1640] ООО "Авто-тайле"</t>
  </si>
  <si>
    <t>7709714791</t>
  </si>
  <si>
    <t>[1642] ООО "СТЭЛС-СК"</t>
  </si>
  <si>
    <t>7723596596</t>
  </si>
  <si>
    <t>[1659] ООО"АВАНТАЖ+"</t>
  </si>
  <si>
    <t>7726730144</t>
  </si>
  <si>
    <t>[1682] ООО "Академия хоккея"</t>
  </si>
  <si>
    <t>7722760564</t>
  </si>
  <si>
    <t>[1690] ИП Стамблер А.И.</t>
  </si>
  <si>
    <t>502715418097</t>
  </si>
  <si>
    <t>[1698] АО "ТЭСМО"</t>
  </si>
  <si>
    <t>5053001871</t>
  </si>
  <si>
    <t>[1703] ООО "СТАПКОМ"</t>
  </si>
  <si>
    <t>9705084285</t>
  </si>
  <si>
    <t>[1705] ООО "Лисья Нора"</t>
  </si>
  <si>
    <t>5007092539</t>
  </si>
  <si>
    <t>[1714] ООО "Учебные Технологии"</t>
  </si>
  <si>
    <t>7721483396</t>
  </si>
  <si>
    <t>[1726] ООО "АСКА Трейд"</t>
  </si>
  <si>
    <t>7721667347</t>
  </si>
  <si>
    <t>[1727] ООО "Интерпортфолио"</t>
  </si>
  <si>
    <t>7728272789</t>
  </si>
  <si>
    <t>[1728] ОАО "СПК "Роман"</t>
  </si>
  <si>
    <t>6314005226</t>
  </si>
  <si>
    <t>[1735] ООО "Служба Содействия Бизнесу"</t>
  </si>
  <si>
    <t>7721690875</t>
  </si>
  <si>
    <t>[1744] ООО ТД "ГЛС"</t>
  </si>
  <si>
    <t>5001110206</t>
  </si>
  <si>
    <t>[1768] ООО "Металлопт"</t>
  </si>
  <si>
    <t>5074051792</t>
  </si>
  <si>
    <t>[1769] ООО "МЕТЛА 24"</t>
  </si>
  <si>
    <t>7743138202</t>
  </si>
  <si>
    <t>[1772] ООО "ГК Триумф"</t>
  </si>
  <si>
    <t>5047171385</t>
  </si>
  <si>
    <t>[1774] ООО "Руспласт" (Бывш."МАС Руспласт")</t>
  </si>
  <si>
    <t>7726300487</t>
  </si>
  <si>
    <t>[1803] ООО"ХИМТРАНС"</t>
  </si>
  <si>
    <t>5031127990</t>
  </si>
  <si>
    <t>[1804] ООО "ДиСиЛоджик"</t>
  </si>
  <si>
    <t>7709901791</t>
  </si>
  <si>
    <t>[1809] ИП Костев А.Ю.</t>
  </si>
  <si>
    <t>501906304405</t>
  </si>
  <si>
    <t>[1815] ООО "ЛИС ПРИНТ"</t>
  </si>
  <si>
    <t>7722818670</t>
  </si>
  <si>
    <t>[1817] ООО УК "Содружество"</t>
  </si>
  <si>
    <t>7705581646</t>
  </si>
  <si>
    <t>[1820] ИП Герасимова П.В.</t>
  </si>
  <si>
    <t>501001837510</t>
  </si>
  <si>
    <t>[1825] Столичный Крепёж (бывший Премиум Сейл)</t>
  </si>
  <si>
    <t>3307021172</t>
  </si>
  <si>
    <t>[1826] ООО "Импульс Маркет"</t>
  </si>
  <si>
    <t>7720803090</t>
  </si>
  <si>
    <t>[1831] ООО "ТЭК ВЕЛЕС - ЭЛ"</t>
  </si>
  <si>
    <t>5031093710</t>
  </si>
  <si>
    <t>[1832] ООО "ТЕЛЛИ-КОНСЕРВ"</t>
  </si>
  <si>
    <t>7743122900</t>
  </si>
  <si>
    <t>[1847] ПОУ Автомобильная школа "Нева" РО ДОСААФ</t>
  </si>
  <si>
    <t>7712097958</t>
  </si>
  <si>
    <t>[1849] ООО УК "МКД "Восток"</t>
  </si>
  <si>
    <t>5038091704</t>
  </si>
  <si>
    <t>[1860] ООО ЧОО "Витязь-96"</t>
  </si>
  <si>
    <t>5038024232</t>
  </si>
  <si>
    <t>[1869] ООО "УМиАТ - Стромсервис"</t>
  </si>
  <si>
    <t>7726362099</t>
  </si>
  <si>
    <t>[1873] ООО "Диметра"</t>
  </si>
  <si>
    <t>7733565519</t>
  </si>
  <si>
    <t>[1874] ООО "УК "ЛЮБИМЫЙ ДОМ"</t>
  </si>
  <si>
    <t>5036145658</t>
  </si>
  <si>
    <t>[1880] ООО "АВТОРУСЬ М"</t>
  </si>
  <si>
    <t>5036094001</t>
  </si>
  <si>
    <t>[1886] ООО "ТЕРРА ВАТЕР ГРУПП"</t>
  </si>
  <si>
    <t>7724299910</t>
  </si>
  <si>
    <t>[1899] ООО ""АКАДЕМИЯ СВЕТА"</t>
  </si>
  <si>
    <t>7729752594</t>
  </si>
  <si>
    <t>[1903] ООО "Галеон"</t>
  </si>
  <si>
    <t>7720681980</t>
  </si>
  <si>
    <t>[1911] ООО "Стройсервис-1136"</t>
  </si>
  <si>
    <t>7714140609</t>
  </si>
  <si>
    <t>[1916] ИП Шкиндер Ю.И.</t>
  </si>
  <si>
    <t>773128813200</t>
  </si>
  <si>
    <t>[1920] ООО "Чартер"</t>
  </si>
  <si>
    <t>7729453971</t>
  </si>
  <si>
    <t>[1922] ООО "АБАК-ИНВЕСТ"</t>
  </si>
  <si>
    <t>7709500060</t>
  </si>
  <si>
    <t>[1930] ООО "АвтоБорт"</t>
  </si>
  <si>
    <t>7723414856</t>
  </si>
  <si>
    <t>[1941] ООО "Паквелл"</t>
  </si>
  <si>
    <t>9717068400</t>
  </si>
  <si>
    <t>[1942] ООО "Сателлит-М"</t>
  </si>
  <si>
    <t>2522001779</t>
  </si>
  <si>
    <t>[1951] ООО "СМУ-ЭС"</t>
  </si>
  <si>
    <t>7721695785</t>
  </si>
  <si>
    <t>[1963] ООО "Новатек-Электро"</t>
  </si>
  <si>
    <t>7804509841</t>
  </si>
  <si>
    <t>[1971] ООО "Санимэкс"</t>
  </si>
  <si>
    <t>7816657940</t>
  </si>
  <si>
    <t>[1977] ООО "База№1"</t>
  </si>
  <si>
    <t>7725811440</t>
  </si>
  <si>
    <t>[1987] ЗАО "Энергет и КО"</t>
  </si>
  <si>
    <t>7723305871</t>
  </si>
  <si>
    <t>[1996] ООО "РЕЦИКЛИНГПРОМ"</t>
  </si>
  <si>
    <t>9715296602</t>
  </si>
  <si>
    <t>[2004] ООО "РоялТафт"</t>
  </si>
  <si>
    <t>5007096029</t>
  </si>
  <si>
    <t>[2007] ООО "РусСтрой Инжиниринг"</t>
  </si>
  <si>
    <t>5036166760</t>
  </si>
  <si>
    <t>[2008] ООО"КОНТРОЛЬСТРОЙ"</t>
  </si>
  <si>
    <t>7728435842</t>
  </si>
  <si>
    <t>[2019] ООО ПСФ "Русич-С"</t>
  </si>
  <si>
    <t>7713001112</t>
  </si>
  <si>
    <t>[2023] ООО "КЕК"</t>
  </si>
  <si>
    <t>7720811118</t>
  </si>
  <si>
    <t>[2029] ООО "МТА"</t>
  </si>
  <si>
    <t>5074052299</t>
  </si>
  <si>
    <t>[2034] ООО "ГенХольм"</t>
  </si>
  <si>
    <t>5007090771</t>
  </si>
  <si>
    <t>[2036] ИП Джусоев А.А.</t>
  </si>
  <si>
    <t>503507449466</t>
  </si>
  <si>
    <t>[2063] ООО "АвтоПриют"</t>
  </si>
  <si>
    <t>5074055596</t>
  </si>
  <si>
    <t>[2064] ООО "ПРОМСНАБ"</t>
  </si>
  <si>
    <t>7707785797</t>
  </si>
  <si>
    <t>[2082] ООО "Практика-Опт"</t>
  </si>
  <si>
    <t>5053032943</t>
  </si>
  <si>
    <t>[2089] ООО Караван</t>
  </si>
  <si>
    <t>7725337861</t>
  </si>
  <si>
    <t>[2090] ООО "Экстра-продукт"</t>
  </si>
  <si>
    <t>7727180052</t>
  </si>
  <si>
    <t>[2091] ООО "ГЕЛЕНА ХИМАВТО"</t>
  </si>
  <si>
    <t>7723162359</t>
  </si>
  <si>
    <t>[2110] ООО "ГСГ"</t>
  </si>
  <si>
    <t>7713460162</t>
  </si>
  <si>
    <t>[2115] АО "Автокомбинат №29"</t>
  </si>
  <si>
    <t>7736534220</t>
  </si>
  <si>
    <t>[2131] ООО "Геологические буровые комплексы"</t>
  </si>
  <si>
    <t>7730626629</t>
  </si>
  <si>
    <t>[2135] ООО "Велта"</t>
  </si>
  <si>
    <t>7731609062</t>
  </si>
  <si>
    <t>[2139] ООО "ГазСтройМонтаж" ("ГСМ")</t>
  </si>
  <si>
    <t>5031130810</t>
  </si>
  <si>
    <t>[2151] ООО "РадонИТ"</t>
  </si>
  <si>
    <t>5042142655</t>
  </si>
  <si>
    <t>[2154] ООО "ЛАМЕД"</t>
  </si>
  <si>
    <t>7733225632</t>
  </si>
  <si>
    <t>[2160] ООО "СК Русстрой"</t>
  </si>
  <si>
    <t>5036115903</t>
  </si>
  <si>
    <t>[2162] ООО "Груз Везет"</t>
  </si>
  <si>
    <t>7728482271</t>
  </si>
  <si>
    <t>[2163] ООО "ТрансПромИнжиниринг"</t>
  </si>
  <si>
    <t>7734617248</t>
  </si>
  <si>
    <t>[2172] ООО "Контек"</t>
  </si>
  <si>
    <t>5074043199</t>
  </si>
  <si>
    <t>[2175] ООО "Контраст Экспресс"</t>
  </si>
  <si>
    <t>5053030777</t>
  </si>
  <si>
    <t>[2179] ООО "СТРОЙКОМПЛЕКС" 2019</t>
  </si>
  <si>
    <t>5003109573</t>
  </si>
  <si>
    <t>[2181] ООО "Адванс Строй Групп"</t>
  </si>
  <si>
    <t>5040037140</t>
  </si>
  <si>
    <t>[2183] ИП Наумов С.В. (Атлант)</t>
  </si>
  <si>
    <t>771528559071</t>
  </si>
  <si>
    <t>[2186] ИП Канарева И.О.</t>
  </si>
  <si>
    <t>772871984452</t>
  </si>
  <si>
    <t>[2187] ИП Кузин А.А.</t>
  </si>
  <si>
    <t>503601706417</t>
  </si>
  <si>
    <t>[2188] ИП Рыжков М.Ю</t>
  </si>
  <si>
    <t>503601797252</t>
  </si>
  <si>
    <t>[2190] ООО "СПС"</t>
  </si>
  <si>
    <t>7730245750</t>
  </si>
  <si>
    <t>[2194] АО "ГЛИМС-Продакшн"</t>
  </si>
  <si>
    <t>7728127012</t>
  </si>
  <si>
    <t>[2196] ООО "АЖУР-1"</t>
  </si>
  <si>
    <t>9718074566</t>
  </si>
  <si>
    <t>[2207] ООО "РусВиск"</t>
  </si>
  <si>
    <t>7724704798</t>
  </si>
  <si>
    <t>[2217] ООО "Магнетом-М"</t>
  </si>
  <si>
    <t>7726731814</t>
  </si>
  <si>
    <t>[2225] ООО "ПаллетМаркет"</t>
  </si>
  <si>
    <t>7737513141</t>
  </si>
  <si>
    <t>[2236] ООО Завод "СПК Звезда"</t>
  </si>
  <si>
    <t>7724406329</t>
  </si>
  <si>
    <t>[2240] ООО "Окна-Стар"</t>
  </si>
  <si>
    <t>7714591961</t>
  </si>
  <si>
    <t>[2258] ООО "Феникс" 2019</t>
  </si>
  <si>
    <t>5029175669</t>
  </si>
  <si>
    <t>[2260] ООО ПКФ "Еврохим Резинотехника"</t>
  </si>
  <si>
    <t>5031093773</t>
  </si>
  <si>
    <t>[2265] ИП Зорикоев И.И.</t>
  </si>
  <si>
    <t>772606351519</t>
  </si>
  <si>
    <t>[2267] ЗАО "28 ХЛЕБОЗАВОД"</t>
  </si>
  <si>
    <t>7735069668</t>
  </si>
  <si>
    <t>[2280] ООО "Стройотряд"</t>
  </si>
  <si>
    <t>4027123695</t>
  </si>
  <si>
    <t>[2284] ООО "Фарм-Эффект"</t>
  </si>
  <si>
    <t>7715855550</t>
  </si>
  <si>
    <t>[2293] ООО "СПЕКТР-МСК"</t>
  </si>
  <si>
    <t>7714433940</t>
  </si>
  <si>
    <t>[2296] ООО "МАНИС" 2019</t>
  </si>
  <si>
    <t>5503113384</t>
  </si>
  <si>
    <t>[2299] ИП Полозюк В.А.</t>
  </si>
  <si>
    <t>622999770636</t>
  </si>
  <si>
    <t>[2309] ООО "КВТ"</t>
  </si>
  <si>
    <t>5047186864</t>
  </si>
  <si>
    <t>[2322] ООО "Стеллаж Профи"</t>
  </si>
  <si>
    <t>5003127149</t>
  </si>
  <si>
    <t>[2342] ООО "Технологический консалтинг"</t>
  </si>
  <si>
    <t>7727326520</t>
  </si>
  <si>
    <t>[2347] ООО "ВЕКТОР СЕРВИС"</t>
  </si>
  <si>
    <t>5017091855</t>
  </si>
  <si>
    <t>[2364] ООО "АВТО АЛЬЯНС"</t>
  </si>
  <si>
    <t>7751116724</t>
  </si>
  <si>
    <t>[2368] ООО "АВТОРУСЬ Н"</t>
  </si>
  <si>
    <t>5036130725</t>
  </si>
  <si>
    <t>[2384] ИП Андриянов Л.Л.</t>
  </si>
  <si>
    <t>701735287142</t>
  </si>
  <si>
    <t>[2387] ООО "Ковёр Сервис"</t>
  </si>
  <si>
    <t>2223628272</t>
  </si>
  <si>
    <t>[2388] ООО "СТК "БЛАГОСТРОЙ"</t>
  </si>
  <si>
    <t>5003137806</t>
  </si>
  <si>
    <t>[2393] ООО "ТрансСтройЛогистик"</t>
  </si>
  <si>
    <t>5012101482</t>
  </si>
  <si>
    <t>[2394] ООО "Биотех-СК" 2020 г.</t>
  </si>
  <si>
    <t>7702762820</t>
  </si>
  <si>
    <t>[2399] ООО "Трак-Легион"</t>
  </si>
  <si>
    <t>7715825210</t>
  </si>
  <si>
    <t>[2412] ИП Дегтерева Т.П.</t>
  </si>
  <si>
    <t>503600525030</t>
  </si>
  <si>
    <t>[2418] ООО "АльфаРиэлти"</t>
  </si>
  <si>
    <t>7724799655</t>
  </si>
  <si>
    <t>[2420] ООО "ДН.РУ"</t>
  </si>
  <si>
    <t>7724452117</t>
  </si>
  <si>
    <t>[2422] ООО"УКСЕ.РУ"</t>
  </si>
  <si>
    <t>7730198042</t>
  </si>
  <si>
    <t>[2427] ООО "Ломбард 888"</t>
  </si>
  <si>
    <t>9718010636</t>
  </si>
  <si>
    <t>[2453] ООО "ФОРМУЛА" 2020</t>
  </si>
  <si>
    <t>5053043991</t>
  </si>
  <si>
    <t>[2478] ООО " УК ВЭРС"</t>
  </si>
  <si>
    <t>5017104776</t>
  </si>
  <si>
    <t>[2484] АО "СЛОВО"</t>
  </si>
  <si>
    <t>7704012968</t>
  </si>
  <si>
    <t>[2487] ООО "АВАНГАРД ИНТЕРНЕЙШЕНЕЛ"</t>
  </si>
  <si>
    <t>5404472270</t>
  </si>
  <si>
    <t>[2503] ООО "Эскар"</t>
  </si>
  <si>
    <t>7726632789</t>
  </si>
  <si>
    <t>[2507] ООО "ФОРА ТРАНС"</t>
  </si>
  <si>
    <t>9718072512</t>
  </si>
  <si>
    <t>[2512] ООО "МАГИСТРАЛЬ"</t>
  </si>
  <si>
    <t>5031038187</t>
  </si>
  <si>
    <t>[2516] ИП Волков Н.А.</t>
  </si>
  <si>
    <t>503117662238</t>
  </si>
  <si>
    <t>[2521] ООО "Вектор" ТКО-2216/20</t>
  </si>
  <si>
    <t>5047220025</t>
  </si>
  <si>
    <t>[2530] ИП Киркач А.Н.</t>
  </si>
  <si>
    <t>711111468909</t>
  </si>
  <si>
    <t>[2544] ООО "Белый камень"</t>
  </si>
  <si>
    <t>7733906769</t>
  </si>
  <si>
    <t>[2547] ООО "Техно-Трейд"</t>
  </si>
  <si>
    <t>7720785355</t>
  </si>
  <si>
    <t>[2550] ООО "ТД "ТОМАЛ"</t>
  </si>
  <si>
    <t>7709974895</t>
  </si>
  <si>
    <t>[2553] ООО "РусИмпульс"</t>
  </si>
  <si>
    <t>7715794890</t>
  </si>
  <si>
    <t>[2562] ООО "СофПромСтрой"</t>
  </si>
  <si>
    <t>5038147890</t>
  </si>
  <si>
    <t>[2565] ООО "Типография ФС ПРИНТ"</t>
  </si>
  <si>
    <t>7701403064</t>
  </si>
  <si>
    <t>[2575] Искусство декора</t>
  </si>
  <si>
    <t>7724427801</t>
  </si>
  <si>
    <t>[2585] ООО ПУФ "УНИПАК"</t>
  </si>
  <si>
    <t>7704151009</t>
  </si>
  <si>
    <t>[2597] ИП Рытенко А.И.</t>
  </si>
  <si>
    <t>502908649252</t>
  </si>
  <si>
    <t>[2601] ООО"ВОСХОД"</t>
  </si>
  <si>
    <t>5031120579</t>
  </si>
  <si>
    <t>[2609] ООО "Изида"</t>
  </si>
  <si>
    <t>5029111457</t>
  </si>
  <si>
    <t>[2610] ООО "Исида+"</t>
  </si>
  <si>
    <t>5029076273</t>
  </si>
  <si>
    <t>[2611] ООО "Антей+"</t>
  </si>
  <si>
    <t>5036140441</t>
  </si>
  <si>
    <t>[2618] ООО "Сэлдом"</t>
  </si>
  <si>
    <t>9718044829</t>
  </si>
  <si>
    <t>[2622] ООО "АйТиСи Инжиниринг"</t>
  </si>
  <si>
    <t>7751022650</t>
  </si>
  <si>
    <t>[2627] ИП ЗАБАРОВСКИЙ Т.В.</t>
  </si>
  <si>
    <t>540363223539</t>
  </si>
  <si>
    <t>[2634] ООО "Механика"</t>
  </si>
  <si>
    <t>9729003863</t>
  </si>
  <si>
    <t>[2639] ООО "Пять плюс"</t>
  </si>
  <si>
    <t>5036170735</t>
  </si>
  <si>
    <t>[2648]  МойГраСС бывший ГраСС Авто</t>
  </si>
  <si>
    <t>5027198893</t>
  </si>
  <si>
    <t>[2654] ООО "КДС Групп"</t>
  </si>
  <si>
    <t>7716849895</t>
  </si>
  <si>
    <t>[2655] ООО "ПоддонРус"</t>
  </si>
  <si>
    <t>7725296622</t>
  </si>
  <si>
    <t>[2662] ООО "ТД НСЗ"</t>
  </si>
  <si>
    <t>7743339325</t>
  </si>
  <si>
    <t>[2665] ОРИОН</t>
  </si>
  <si>
    <t>5035038477</t>
  </si>
  <si>
    <t>[2667] ООО "Климовская сеть"</t>
  </si>
  <si>
    <t>5021012694</t>
  </si>
  <si>
    <t>[2670] ИП Гарунов Д.И.</t>
  </si>
  <si>
    <t>771373627914</t>
  </si>
  <si>
    <t>[2671] ООО "Дядько"</t>
  </si>
  <si>
    <t>4632180972</t>
  </si>
  <si>
    <t>[2675] ООО "ФУД ЛОГИСТИК"</t>
  </si>
  <si>
    <t>7751005044</t>
  </si>
  <si>
    <t>[2677] АО "УПТК"</t>
  </si>
  <si>
    <t>5053005675</t>
  </si>
  <si>
    <t>[2694] ООО "СТРОЙМОНОЛИТ+"</t>
  </si>
  <si>
    <t>7751168916</t>
  </si>
  <si>
    <t>[2695] ООО "Накал-Н"</t>
  </si>
  <si>
    <t>5031134878</t>
  </si>
  <si>
    <t>[2699] ООО«ФРЭСС»  (Бывш.  "КАДАСТР-Н")</t>
  </si>
  <si>
    <t>5031132528</t>
  </si>
  <si>
    <t>[2702] ИП Елисеев К.Ю.</t>
  </si>
  <si>
    <t>780712680740</t>
  </si>
  <si>
    <t>[2706] ООО "БМП"</t>
  </si>
  <si>
    <t>5012017745</t>
  </si>
  <si>
    <t>[2710] ИП Акишин В.Э.</t>
  </si>
  <si>
    <t>505011900013</t>
  </si>
  <si>
    <t>[2713] ИП Щедрин В.В.</t>
  </si>
  <si>
    <t>503603506692</t>
  </si>
  <si>
    <t>[2715] ООО "С-ВОСТОК"</t>
  </si>
  <si>
    <t>5031064042</t>
  </si>
  <si>
    <t>[2723] ООО "МФ Поиск"</t>
  </si>
  <si>
    <t>7721190262</t>
  </si>
  <si>
    <t>[2742] РентаСтройТех</t>
  </si>
  <si>
    <t>5009114812</t>
  </si>
  <si>
    <t>[2744] ПТК ПРОФИТ</t>
  </si>
  <si>
    <t>5074056230</t>
  </si>
  <si>
    <t>[2755] ООО "ГРУППА КОМПАНИЙ "ПРЕСТИЖ"</t>
  </si>
  <si>
    <t>7751017392</t>
  </si>
  <si>
    <t>[2764] ООО "СИСТЕМА" ТКО-2781/21 от 27.04.21</t>
  </si>
  <si>
    <t>7714399619</t>
  </si>
  <si>
    <t>[2772] ООО "Фиш Эвент"</t>
  </si>
  <si>
    <t>5074054803</t>
  </si>
  <si>
    <t>[2777] ООО ТК "МосТранс"</t>
  </si>
  <si>
    <t>9724019475</t>
  </si>
  <si>
    <t>[2789] ООО "Томикс"</t>
  </si>
  <si>
    <t>7751192002</t>
  </si>
  <si>
    <t>[2792] ИП Смирнова Т.О.</t>
  </si>
  <si>
    <t>370212221727</t>
  </si>
  <si>
    <t>[2796] ООО "Облком"</t>
  </si>
  <si>
    <t>5048036808</t>
  </si>
  <si>
    <t>[2797] ИП Плохотнюк О.А.</t>
  </si>
  <si>
    <t>702407077828</t>
  </si>
  <si>
    <t>[2811] ООО "ГЛОБАЛСПОРТ"</t>
  </si>
  <si>
    <t>7726402070</t>
  </si>
  <si>
    <t>[2820] ООО "Инженерный центр"</t>
  </si>
  <si>
    <t>5032275712</t>
  </si>
  <si>
    <t>[2824] ООО "КОНВЕНТ"</t>
  </si>
  <si>
    <t>5056008970</t>
  </si>
  <si>
    <t>[2832] ООО"Люберецкая Транспортная Компания"</t>
  </si>
  <si>
    <t>5027194715</t>
  </si>
  <si>
    <t>[2837] ООО "Х-Профиль"</t>
  </si>
  <si>
    <t>7702744099</t>
  </si>
  <si>
    <t>[2853] ООО "МонолитБетон"</t>
  </si>
  <si>
    <t>5038116331</t>
  </si>
  <si>
    <t>[2856] ООО "Окна-Строй"</t>
  </si>
  <si>
    <t>7731628594</t>
  </si>
  <si>
    <t>[2863] ООО "ТЕХНИЧЕСКИЕ КОМПЛЕКСЫ"</t>
  </si>
  <si>
    <t>7751525928</t>
  </si>
  <si>
    <t>[2868] ООО "ИСКУССТВО СНА"</t>
  </si>
  <si>
    <t>7722320235</t>
  </si>
  <si>
    <t>[2873] ООО "ПК Лайф-Электро"</t>
  </si>
  <si>
    <t>9717047520</t>
  </si>
  <si>
    <t>[2896] ООО "Транслогика"</t>
  </si>
  <si>
    <t>5001141194</t>
  </si>
  <si>
    <t>[2902] ООО "ВОСТОЧНЫЕ ВОРОТА"</t>
  </si>
  <si>
    <t>7713466372</t>
  </si>
  <si>
    <t>[2906] ООО "Интесис"</t>
  </si>
  <si>
    <t>7722480430</t>
  </si>
  <si>
    <t>[2907] ООО "КОД"</t>
  </si>
  <si>
    <t>5047169788</t>
  </si>
  <si>
    <t>[2909] ООО "АМИДИС ГРУПП"</t>
  </si>
  <si>
    <t>724458550</t>
  </si>
  <si>
    <t>[2910] ООО "Воронцовский продукт"</t>
  </si>
  <si>
    <t>9729066380</t>
  </si>
  <si>
    <t>[2917] ООО "БЗКМ"</t>
  </si>
  <si>
    <t>5001051014</t>
  </si>
  <si>
    <t>[2926] ООО "СПК" ТКО-2961/21</t>
  </si>
  <si>
    <t>7716585843</t>
  </si>
  <si>
    <t>[2932] ООО ТД "Стильные Душевые"</t>
  </si>
  <si>
    <t>5074066848</t>
  </si>
  <si>
    <t>[2933] ООО "ЦКО"</t>
  </si>
  <si>
    <t>9704008436</t>
  </si>
  <si>
    <t>[2935] ООО "АДМ СпецРТ"</t>
  </si>
  <si>
    <t>771778077</t>
  </si>
  <si>
    <t>[2943] ООО "РЕГАЛ"</t>
  </si>
  <si>
    <t>5032116310</t>
  </si>
  <si>
    <t>[2946] ООО "ГОРОДСКИЕ ИНЖЕНЕРНЫЕ СЕТИ"</t>
  </si>
  <si>
    <t>7725669056</t>
  </si>
  <si>
    <t>[2948] АО "ЭР-Телеком Холдинг" до 31.12.2026 г!</t>
  </si>
  <si>
    <t>5902202276</t>
  </si>
  <si>
    <t>[2949] ООО "Атлант"</t>
  </si>
  <si>
    <t>4029049790</t>
  </si>
  <si>
    <t>[2957] ЗАО "Марвэкс-М"</t>
  </si>
  <si>
    <t>7705364176</t>
  </si>
  <si>
    <t>[2960] ООО "СнабСтрой"</t>
  </si>
  <si>
    <t>7727445189</t>
  </si>
  <si>
    <t>[2963] ООО "ЕВРОЛОГИСТИКА"</t>
  </si>
  <si>
    <t>9715302609</t>
  </si>
  <si>
    <t>[2966] ООО "ЮНИОН ТРАСТ"</t>
  </si>
  <si>
    <t>7730261424</t>
  </si>
  <si>
    <t>[2976] ООО "ВИТАРЭЛЬ"</t>
  </si>
  <si>
    <t>7708700852</t>
  </si>
  <si>
    <t>[2977] ЗАО "МЕМОТЕРМ-ММ"</t>
  </si>
  <si>
    <t>7722009140</t>
  </si>
  <si>
    <t>[2984] ООО "ГАРАНТСТРОЙ" ТКО- 3028/22</t>
  </si>
  <si>
    <t>5009128075</t>
  </si>
  <si>
    <t>[2995] ООО "МОДЕР ОМ"</t>
  </si>
  <si>
    <t>5050126463</t>
  </si>
  <si>
    <t>[2996] ООО "ЦТС 23"</t>
  </si>
  <si>
    <t>7733272664</t>
  </si>
  <si>
    <t>[3000] ООО "МОРЕНТЕК"</t>
  </si>
  <si>
    <t>7713414617</t>
  </si>
  <si>
    <t>[3012] ООО "АЛЬФАМЕТ"</t>
  </si>
  <si>
    <t>5001118692</t>
  </si>
  <si>
    <t>[3013] ООО"ЭнергоПоинт"</t>
  </si>
  <si>
    <t>7702803749</t>
  </si>
  <si>
    <t>[3016] ИП Шевцов Д. Г.</t>
  </si>
  <si>
    <t>501807027380</t>
  </si>
  <si>
    <t>[3021] ООО "ТЕХСАН"</t>
  </si>
  <si>
    <t>7723509339</t>
  </si>
  <si>
    <t>[3024] ООО "ВЕЛЕС" ТКО-3074/22</t>
  </si>
  <si>
    <t>7726478199</t>
  </si>
  <si>
    <t>[3026] ООО "РИЧИ ХОЛДИНГ"</t>
  </si>
  <si>
    <t>9719000253</t>
  </si>
  <si>
    <t>[3028] ООО "ПФ" МЕБЕЛИС"</t>
  </si>
  <si>
    <t>5039007670</t>
  </si>
  <si>
    <t>[3029] ООО "Бухгруппа"</t>
  </si>
  <si>
    <t>7719772697</t>
  </si>
  <si>
    <t>[3031] ООО "ЦВЕТАМИ"</t>
  </si>
  <si>
    <t>7724355314</t>
  </si>
  <si>
    <t>[3032] ООО "ЭГИДА ПТВ"</t>
  </si>
  <si>
    <t>7743096136</t>
  </si>
  <si>
    <t>[3037] ООО "МЕТАЛЛ-ИСТ"</t>
  </si>
  <si>
    <t>9724041030</t>
  </si>
  <si>
    <t>[3040] ООО "Автоскор"</t>
  </si>
  <si>
    <t>7715884255</t>
  </si>
  <si>
    <t>[3048] ООО "ТрансСтрой МСК"</t>
  </si>
  <si>
    <t>9717106021</t>
  </si>
  <si>
    <t>[3066] ПАО "САК "ЭНЕРГОГАРАНТ"</t>
  </si>
  <si>
    <t>7705041231</t>
  </si>
  <si>
    <t>[3067] Санаторий "Сосны" ВОС</t>
  </si>
  <si>
    <t>5040036669</t>
  </si>
  <si>
    <t>[3071] ИП Попков М.В.</t>
  </si>
  <si>
    <t>503614321206</t>
  </si>
  <si>
    <t>[3075] ООО"Развитие"</t>
  </si>
  <si>
    <t>7724824319</t>
  </si>
  <si>
    <t>[3082] ООО "ЛЕГИОН"</t>
  </si>
  <si>
    <t>7826029648</t>
  </si>
  <si>
    <t>[3083] ООО "ВЕЛЛ ПАК РУССИА"</t>
  </si>
  <si>
    <t>7736283992</t>
  </si>
  <si>
    <t>[3085] ООО "СТРИВЕР"</t>
  </si>
  <si>
    <t>7728462067</t>
  </si>
  <si>
    <t>[3086] ООО "ПК ГТО"</t>
  </si>
  <si>
    <t>5018152476</t>
  </si>
  <si>
    <t>[3099] ООО «БИЗНЕС Интерактив»</t>
  </si>
  <si>
    <t>7713762251</t>
  </si>
  <si>
    <t>[3103] ООО ТД «БИЗОН»</t>
  </si>
  <si>
    <t>7727308009</t>
  </si>
  <si>
    <t>[3104] ООО "МОНОЛИТ" ТКО 3158/22</t>
  </si>
  <si>
    <t>7708683942</t>
  </si>
  <si>
    <t>[3114] ООО "ДИК-Мебель"</t>
  </si>
  <si>
    <t>7718164343</t>
  </si>
  <si>
    <t>[3116] ООО "ААА АВТОРУСЬ МЫТИЩИ"</t>
  </si>
  <si>
    <t>5029256452</t>
  </si>
  <si>
    <t>[3118] ООО "МВ Трейд"</t>
  </si>
  <si>
    <t>5029241304</t>
  </si>
  <si>
    <t>[3121] ООО "Гранит Транс Сервис"</t>
  </si>
  <si>
    <t>7729489583</t>
  </si>
  <si>
    <t>[3141] ООО "ЛОФТ ЭВЕНТ ХОЛЛ"</t>
  </si>
  <si>
    <t>7725360042</t>
  </si>
  <si>
    <t>[3144] ООО "Компания ЛОКИТ"</t>
  </si>
  <si>
    <t>7735533551</t>
  </si>
  <si>
    <t>[3145] ООО "КОМПАНИЯ НОВАТОР"</t>
  </si>
  <si>
    <t>5029220907</t>
  </si>
  <si>
    <t>[3147] ООО "Вистекс"</t>
  </si>
  <si>
    <t>5031092522</t>
  </si>
  <si>
    <t>[3148] ЗАО "ЗиО-Здоровье"</t>
  </si>
  <si>
    <t>5036046054</t>
  </si>
  <si>
    <t>[3154] ООО "МантраЛайт.Рус"</t>
  </si>
  <si>
    <t>9724042146</t>
  </si>
  <si>
    <t>[3158] ООО "Промлайт"</t>
  </si>
  <si>
    <t>5259076944</t>
  </si>
  <si>
    <t>[3159] ООО "ИНВЕСТХОЛДИНГ"</t>
  </si>
  <si>
    <t>7707551380</t>
  </si>
  <si>
    <t>[3160] ООО "СпецАвтокраны"</t>
  </si>
  <si>
    <t>9726008239</t>
  </si>
  <si>
    <t>[3164] ООО "Купи-Строй"</t>
  </si>
  <si>
    <t>7717289519</t>
  </si>
  <si>
    <t>[3167] ООО "САНТЕХМИКС"</t>
  </si>
  <si>
    <t>5027216461</t>
  </si>
  <si>
    <t>[3169] ООО "РЭУ "НОВАТОР"</t>
  </si>
  <si>
    <t>5012035600</t>
  </si>
  <si>
    <t>[3170] ООО "КОСМОС"</t>
  </si>
  <si>
    <t>5074077039</t>
  </si>
  <si>
    <t>[3171] ООО "АКС СТИЛЬ"</t>
  </si>
  <si>
    <t>7715949463</t>
  </si>
  <si>
    <t>[3173] ООО "СИГИР ЛОДЖИСТИКС"</t>
  </si>
  <si>
    <t>7813663230</t>
  </si>
  <si>
    <t>[3174] ООО "ФРУТ ДЖЕЛЛО"</t>
  </si>
  <si>
    <t>7743200919</t>
  </si>
  <si>
    <t>[3175] ООО "Группа-396" (ТКО-3230/22 )</t>
  </si>
  <si>
    <t>7720853492</t>
  </si>
  <si>
    <t>[3178] ООО "ЦСОО"</t>
  </si>
  <si>
    <t>9722013855</t>
  </si>
  <si>
    <t>[3180] ИП Мартынюк Н.В.</t>
  </si>
  <si>
    <t>505011734790</t>
  </si>
  <si>
    <t>[3185] ИП Кузнецов С.И.</t>
  </si>
  <si>
    <t>503501695730</t>
  </si>
  <si>
    <t>[3195] ООО УК "СХОДНЯ"</t>
  </si>
  <si>
    <t>5047195379</t>
  </si>
  <si>
    <t>[3207] ООО"ЛВК-СТРОЙ"</t>
  </si>
  <si>
    <t>6382069845</t>
  </si>
  <si>
    <t>[3213] ООО " ТД ТЕРРА"</t>
  </si>
  <si>
    <t>5036167309</t>
  </si>
  <si>
    <t>[3214] ООО "Белтпрофи"</t>
  </si>
  <si>
    <t>5036162741</t>
  </si>
  <si>
    <t>[3216] ООО "МИАТРОН"</t>
  </si>
  <si>
    <t>9725084540</t>
  </si>
  <si>
    <t>[3219] ООО "Практик"</t>
  </si>
  <si>
    <t>1901137725</t>
  </si>
  <si>
    <t>[3224] ООО "Конфил"</t>
  </si>
  <si>
    <t>6800000699</t>
  </si>
  <si>
    <t>[3228] ООО "Эверест"</t>
  </si>
  <si>
    <t>7713465347</t>
  </si>
  <si>
    <t>[3229] ИП Чагрина В.В.</t>
  </si>
  <si>
    <t>500111110891</t>
  </si>
  <si>
    <t>[3230] ООО "АНТИКЕР"</t>
  </si>
  <si>
    <t>7733339492</t>
  </si>
  <si>
    <t>[3232] ООО "Виренд Интернейшнл"</t>
  </si>
  <si>
    <t>7729079361</t>
  </si>
  <si>
    <t>[3238] ООО "Каори"</t>
  </si>
  <si>
    <t>7743332792</t>
  </si>
  <si>
    <t>[3241] ИП Зотова Л.Ф.</t>
  </si>
  <si>
    <t>130201274557</t>
  </si>
  <si>
    <t>[3244] ИП Баранов Д.А.</t>
  </si>
  <si>
    <t>500109392328</t>
  </si>
  <si>
    <t>[3247] ООО "ПластСервис"</t>
  </si>
  <si>
    <t>3316012350</t>
  </si>
  <si>
    <t>[3250] ООО "Терра Лоджик"</t>
  </si>
  <si>
    <t>7722828318</t>
  </si>
  <si>
    <t>[3251] ООО "СТРОЙТЕХНОСЕРВИС"</t>
  </si>
  <si>
    <t>9704098253</t>
  </si>
  <si>
    <t>[3252] ООО "ПромСтрой"</t>
  </si>
  <si>
    <t>7702393429</t>
  </si>
  <si>
    <t>[3254] ООО "СПЕКТР СЕРВИС ГРУПП"</t>
  </si>
  <si>
    <t>5003154505</t>
  </si>
  <si>
    <t>[3260] Фирма "Проконсим"</t>
  </si>
  <si>
    <t>7730041771</t>
  </si>
  <si>
    <t>[3262] ООО "ФОРТЛЮФТ"</t>
  </si>
  <si>
    <t>9718053301</t>
  </si>
  <si>
    <t>[3265] СТРОЙКОСТЕХНИКА</t>
  </si>
  <si>
    <t>5029204221</t>
  </si>
  <si>
    <t>[3268] ООО "Импрув"</t>
  </si>
  <si>
    <t>7720846907</t>
  </si>
  <si>
    <t>[3273] ООО "ДорСтрой-7"</t>
  </si>
  <si>
    <t>7734345570</t>
  </si>
  <si>
    <t>[3278] ООО "ТК НИКА"</t>
  </si>
  <si>
    <t>7743055972</t>
  </si>
  <si>
    <t>[3279] ИП Юсипова М.Ю.</t>
  </si>
  <si>
    <t>773270136227</t>
  </si>
  <si>
    <t>[3283] ООО ЧОО "СКОПА"</t>
  </si>
  <si>
    <t>7743224123</t>
  </si>
  <si>
    <t>[3284] ООО "ДОМ МЕЧТЫ"</t>
  </si>
  <si>
    <t>7725292113</t>
  </si>
  <si>
    <t>[3287] (ИП Демин В.В.</t>
  </si>
  <si>
    <t>331401250046</t>
  </si>
  <si>
    <t>[3288] ООО "Эпсилон"</t>
  </si>
  <si>
    <t>7720793236</t>
  </si>
  <si>
    <t>[3289] ООО "КВКЗ"</t>
  </si>
  <si>
    <t>7703457072</t>
  </si>
  <si>
    <t>[3298] ООО" КОНСОРС СЕРВИС"</t>
  </si>
  <si>
    <t>7722352710</t>
  </si>
  <si>
    <t>[3301] ООО "ПТК Ресурс"</t>
  </si>
  <si>
    <t>7715904423</t>
  </si>
  <si>
    <t>[3306] ИП Глава КФХ Серов А.В.</t>
  </si>
  <si>
    <t>770373106620</t>
  </si>
  <si>
    <t>[3307] ООО "ЮКИНОКС"</t>
  </si>
  <si>
    <t>5074053905</t>
  </si>
  <si>
    <t>[3309] ООО "АЛСО ТРЕЙД"</t>
  </si>
  <si>
    <t>7721838786</t>
  </si>
  <si>
    <t>[3315] ООО "Энергетика"</t>
  </si>
  <si>
    <t>9703056758</t>
  </si>
  <si>
    <t>[3316] ООО "МЕГАГРУПП"</t>
  </si>
  <si>
    <t>5029227300</t>
  </si>
  <si>
    <t>[3319] АО "БМ Бергбаутекник"</t>
  </si>
  <si>
    <t>5031143093</t>
  </si>
  <si>
    <t>[3323] ИП Ивашкевич Н.Н.</t>
  </si>
  <si>
    <t>774394592464</t>
  </si>
  <si>
    <t>[3326] ООО "АГРО-ПРО"</t>
  </si>
  <si>
    <t>7733904987</t>
  </si>
  <si>
    <t>[3328] ООО "Норда транс"</t>
  </si>
  <si>
    <t>9723060209</t>
  </si>
  <si>
    <t>[3333] ИП Рыжих Ю.В.</t>
  </si>
  <si>
    <t>502720220021</t>
  </si>
  <si>
    <t>[3349] ООО "АМРИТА"</t>
  </si>
  <si>
    <t>7707379932</t>
  </si>
  <si>
    <t>[3353] ООО "ТехМетр"</t>
  </si>
  <si>
    <t>5074062272</t>
  </si>
  <si>
    <t>[3361] ООО "Велес" ТКО-3426/23 18.08.2023 г.</t>
  </si>
  <si>
    <t>5053045050</t>
  </si>
  <si>
    <t>[3365] ООО "АВТОРУСЬ С"</t>
  </si>
  <si>
    <t>5029259206</t>
  </si>
  <si>
    <t>[3368] ООО "Газ-тех"</t>
  </si>
  <si>
    <t>5003119317</t>
  </si>
  <si>
    <t>[3373] ООО "Автомир-Трейд"</t>
  </si>
  <si>
    <t>7730569353</t>
  </si>
  <si>
    <t>[3375] ИП Джораев Фархат</t>
  </si>
  <si>
    <t>772311575351</t>
  </si>
  <si>
    <t>[3377] ООО "1й Национальный Альянс"</t>
  </si>
  <si>
    <t>7709943752</t>
  </si>
  <si>
    <t>[3382] ИП Скурихина А.Ю.</t>
  </si>
  <si>
    <t>772330389103</t>
  </si>
  <si>
    <t>[3393] ООО "ТОРГ ММ"</t>
  </si>
  <si>
    <t>9717112547</t>
  </si>
  <si>
    <t>[3397] ООО "СИСТЕМ СПОРТ"</t>
  </si>
  <si>
    <t>5074061173</t>
  </si>
  <si>
    <t>[3403] ООО АМКапитал"</t>
  </si>
  <si>
    <t>7708607959</t>
  </si>
  <si>
    <t>[3407] ООО "СмартСток"</t>
  </si>
  <si>
    <t>5260448876</t>
  </si>
  <si>
    <t>[3408] ООО "Московский Трубопрокатный завод"</t>
  </si>
  <si>
    <t>7716811411</t>
  </si>
  <si>
    <t>[3413] ИП Михайлова Д.В.</t>
  </si>
  <si>
    <t>502238102334</t>
  </si>
  <si>
    <t>[3419] ООО "С-ТРАНС"</t>
  </si>
  <si>
    <t>5009113858</t>
  </si>
  <si>
    <t>[3421] ООО "СКО"</t>
  </si>
  <si>
    <t>7716880800</t>
  </si>
  <si>
    <t>[3423] ЧУ ДПО ИЦО</t>
  </si>
  <si>
    <t>7701023168</t>
  </si>
  <si>
    <t>[3429] ООО "Орион" ТКО- 3497/23 от 07.11.2023 г</t>
  </si>
  <si>
    <t>5029251380</t>
  </si>
  <si>
    <t>[3436] ООО "ФАТ"</t>
  </si>
  <si>
    <t>7708321766</t>
  </si>
  <si>
    <t>[3439] ИП Цао Ян</t>
  </si>
  <si>
    <t>773671582229</t>
  </si>
  <si>
    <t>[3441] ООО "Ника А"</t>
  </si>
  <si>
    <t>7727310696</t>
  </si>
  <si>
    <t>[3443] ООО "БИГ-БАС"</t>
  </si>
  <si>
    <t>5030095619</t>
  </si>
  <si>
    <t>[3445] ИП Ларин С.А.</t>
  </si>
  <si>
    <t>644009851573</t>
  </si>
  <si>
    <t>[3446] ООО УК "Московский регион"</t>
  </si>
  <si>
    <t>5047246827</t>
  </si>
  <si>
    <t>[3447] ООО "ЭНЕРГИЯ ПЛЮС"</t>
  </si>
  <si>
    <t>5018210671</t>
  </si>
  <si>
    <t>[3449] ООО "ТАРГЕТ"</t>
  </si>
  <si>
    <t>5001132506</t>
  </si>
  <si>
    <t>[3455] ООО "РТ-СТРОЙ"</t>
  </si>
  <si>
    <t>9725092750</t>
  </si>
  <si>
    <t>[3457] ИП Язев И.А.</t>
  </si>
  <si>
    <t>503125657383</t>
  </si>
  <si>
    <t>[3460] ООО "Тритон Аква"</t>
  </si>
  <si>
    <t>7701753260</t>
  </si>
  <si>
    <t>[3463] ООО УОД "Трансинжстроя"</t>
  </si>
  <si>
    <t>5032261981</t>
  </si>
  <si>
    <t>[3465] ИП Рафхатов М.Р.</t>
  </si>
  <si>
    <t>165207180102</t>
  </si>
  <si>
    <t>[3467] ООО "ФАВОРИТ 1"</t>
  </si>
  <si>
    <t>5047151082</t>
  </si>
  <si>
    <t>[3468] ООО "Компания Фаворит"</t>
  </si>
  <si>
    <t>9718164675</t>
  </si>
  <si>
    <t>[3470] ООО "НХ-Логистик"</t>
  </si>
  <si>
    <t>7721772581</t>
  </si>
  <si>
    <t>[3473] ООО "АвтоСтэп"</t>
  </si>
  <si>
    <t>9702005045</t>
  </si>
  <si>
    <t>[3480] ООО "Эксплуатирующая орг."Золотые Купола</t>
  </si>
  <si>
    <t>5044066946</t>
  </si>
  <si>
    <t>[3490] ООО "ГОСТПРОДАЖ"</t>
  </si>
  <si>
    <t>7708375627</t>
  </si>
  <si>
    <t>[3493] АО "УСМ № 3970" ТКО- УСМ3970/Р</t>
  </si>
  <si>
    <t>5001043535</t>
  </si>
  <si>
    <t>[3503] ООО "СПАРНИ"</t>
  </si>
  <si>
    <t>9724150021</t>
  </si>
  <si>
    <t>[3507] ООО "ОТК"</t>
  </si>
  <si>
    <t>7724734721</t>
  </si>
  <si>
    <t>[3515] ООО "Гермес" ТКО-3588/24</t>
  </si>
  <si>
    <t>7727449881</t>
  </si>
  <si>
    <t>[3516] ООО "МОС СпецСтройМонтаж"</t>
  </si>
  <si>
    <t>7733414830</t>
  </si>
  <si>
    <t>[3517] ООО "Эсгласс"</t>
  </si>
  <si>
    <t>5043068002</t>
  </si>
  <si>
    <t>[3522] ООО "ИЭАК Хуаюнь"</t>
  </si>
  <si>
    <t>9725129632</t>
  </si>
  <si>
    <t>[3534] ООО "СистемТехСервис"</t>
  </si>
  <si>
    <t>7725844325</t>
  </si>
  <si>
    <t>[3535] АО "Подольский машиностроительный завод"</t>
  </si>
  <si>
    <t>5036011735</t>
  </si>
  <si>
    <t>[3536] ООО "НьюВэй"</t>
  </si>
  <si>
    <t>7724333906</t>
  </si>
  <si>
    <t>[3540] ООО "ЖЭК Комфорт"</t>
  </si>
  <si>
    <t>5046065708</t>
  </si>
  <si>
    <t>[3543] ООО "ЛЕМФОРМО"</t>
  </si>
  <si>
    <t>7100022466</t>
  </si>
  <si>
    <t>[3563] ООО "Вершина"</t>
  </si>
  <si>
    <t>5031153863</t>
  </si>
  <si>
    <t>[3565] ООО "ЭКОЛ Строй"</t>
  </si>
  <si>
    <t>7723467054</t>
  </si>
  <si>
    <t>[3566] ООО "МедЛАБ М" ТКО- 3706/24</t>
  </si>
  <si>
    <t>7726378797</t>
  </si>
  <si>
    <t>[3567] ООО "ФАРИНАРИ"</t>
  </si>
  <si>
    <t>7727462956</t>
  </si>
  <si>
    <t>[3570] ООО "ТД "ГАММА"</t>
  </si>
  <si>
    <t>9729174996</t>
  </si>
  <si>
    <t>[3584] ООО"МАТЕРИАЛ ГРОУП"</t>
  </si>
  <si>
    <t>9724114961</t>
  </si>
  <si>
    <t>[3587] ООО "ПромЭнерго РХМ"</t>
  </si>
  <si>
    <t>6450112474</t>
  </si>
  <si>
    <t>[3592] ООО "Стимул"</t>
  </si>
  <si>
    <t>9715350666</t>
  </si>
  <si>
    <t>[3597] ООО "Регент Рус"</t>
  </si>
  <si>
    <t>7701954872</t>
  </si>
  <si>
    <t>[3598] ООО "АВТОКАНТРИ"</t>
  </si>
  <si>
    <t>5003135277</t>
  </si>
  <si>
    <t>[3606] АО "Пале-Рояль"</t>
  </si>
  <si>
    <t>7707268848</t>
  </si>
  <si>
    <t>[3608] ООО "ДомБыт Техника"</t>
  </si>
  <si>
    <t>7751525950</t>
  </si>
  <si>
    <t>[3613] ООО "ЦЭР-Сервис"</t>
  </si>
  <si>
    <t>9725072104</t>
  </si>
  <si>
    <t>[3618] ООО "ФОРМУЛА КРЕПЕЖА"</t>
  </si>
  <si>
    <t>7724397032</t>
  </si>
  <si>
    <t>[3629] ИП Костылев С.Ю.</t>
  </si>
  <si>
    <t>503603809601</t>
  </si>
  <si>
    <t>[3630] ООО "ТЕДЖАС"</t>
  </si>
  <si>
    <t>7720366812</t>
  </si>
  <si>
    <t>[3633] ООО "СТРОЙПРОЕКТ"</t>
  </si>
  <si>
    <t>9727028598</t>
  </si>
  <si>
    <t>[3634] ООО "МУСТАХКАМ КУРИЛИШ"</t>
  </si>
  <si>
    <t>5012113801</t>
  </si>
  <si>
    <t>[3636] ООО "РЕГСТАЭР-В"</t>
  </si>
  <si>
    <t>7732516205</t>
  </si>
  <si>
    <t>[3637] ИП Васькин А.А.</t>
  </si>
  <si>
    <t>400501158060</t>
  </si>
  <si>
    <t>[3638] ИП Лесникова А.Ю.</t>
  </si>
  <si>
    <t>771618040499</t>
  </si>
  <si>
    <t>[3640] ООО "АТУРЕН"</t>
  </si>
  <si>
    <t>5018203184</t>
  </si>
  <si>
    <t>[3643] ООО "МедиаГруппЛогистик"</t>
  </si>
  <si>
    <t>9729383446</t>
  </si>
  <si>
    <t>[3649] ООО "АРИА ПЛАСТ"</t>
  </si>
  <si>
    <t>9717142943</t>
  </si>
  <si>
    <t>[3650] ООО "ТОРА"</t>
  </si>
  <si>
    <t>7714334548</t>
  </si>
  <si>
    <t>[3652] ООО "ОТК "ПРЕСТИЖ"</t>
  </si>
  <si>
    <t>7729735207</t>
  </si>
  <si>
    <t>[3655] ООО"МС" ТКО- 3797/24</t>
  </si>
  <si>
    <t>9710095620</t>
  </si>
  <si>
    <t>[3659] ИП Галстян В.А.</t>
  </si>
  <si>
    <t>502505107680</t>
  </si>
  <si>
    <t>[3664] ООО "ЛБК-ЛОГИСТИК"</t>
  </si>
  <si>
    <t>5027278838</t>
  </si>
  <si>
    <t>[3665] ООО "Евро Синергия"</t>
  </si>
  <si>
    <t>5031128722</t>
  </si>
  <si>
    <t>[3666] ООО "Техстройтранс"</t>
  </si>
  <si>
    <t>5038154672</t>
  </si>
  <si>
    <t>[3675] ООО "СТРОИТЕЛЬНЫЕ ТЕХНОЛОГИИ"</t>
  </si>
  <si>
    <t>4823060027</t>
  </si>
  <si>
    <t>[3684] ООО "МВМ"</t>
  </si>
  <si>
    <t>5262384709</t>
  </si>
  <si>
    <t>[3688] ООО "ЛИЛУ МА"</t>
  </si>
  <si>
    <t>7719415208</t>
  </si>
  <si>
    <t>[3693] ООО ПК "АНОЛ-СИНТЕЗ"</t>
  </si>
  <si>
    <t>9724090855</t>
  </si>
  <si>
    <t>[3695] ИП Идалбаев К.А.</t>
  </si>
  <si>
    <t>201470680400</t>
  </si>
  <si>
    <t>[3699] ООО "СИНОРОС"</t>
  </si>
  <si>
    <t>7751221140</t>
  </si>
  <si>
    <t>[3702] ООО "Профи Сервис"</t>
  </si>
  <si>
    <t>5074092823</t>
  </si>
  <si>
    <t>[3703] ООО "ДАБЛ ТОП КЕЙТЕРИНГ"</t>
  </si>
  <si>
    <t>9725033553</t>
  </si>
  <si>
    <t>[3704] ООО ЧОП "МОРИОН"</t>
  </si>
  <si>
    <t>7702528161</t>
  </si>
  <si>
    <t>[3706] АНО "Центр городского развития"</t>
  </si>
  <si>
    <t>5031141378</t>
  </si>
  <si>
    <t>[3711] ООО "СТЕКЛОПРОЕКТ"</t>
  </si>
  <si>
    <t>5029192791</t>
  </si>
  <si>
    <t>[3713] ООО "МЕТРОПОЛИЯ"</t>
  </si>
  <si>
    <t>5038135863</t>
  </si>
  <si>
    <t>[3715] ИП Дмитриев В.К.</t>
  </si>
  <si>
    <t>773418902701</t>
  </si>
  <si>
    <t>[3716] ООО "ХЭППИ"</t>
  </si>
  <si>
    <t>7743310291</t>
  </si>
  <si>
    <t>[3717] ООО "ИнтерКапс"</t>
  </si>
  <si>
    <t>7817109209</t>
  </si>
  <si>
    <t>[3718] ИП Елесин А.Н.</t>
  </si>
  <si>
    <t>525617833840</t>
  </si>
  <si>
    <t>[3719] ООО "Стройкомплект"</t>
  </si>
  <si>
    <t>5007101110</t>
  </si>
  <si>
    <t>[3730] ООО "НержСталь"</t>
  </si>
  <si>
    <t>9718277380</t>
  </si>
  <si>
    <t>[3733] ООО "ВКУС ВОДЫ"</t>
  </si>
  <si>
    <t>5047305783</t>
  </si>
  <si>
    <t>[3734] ООО "ДжунДжин Рус"</t>
  </si>
  <si>
    <t>7721782565</t>
  </si>
  <si>
    <t>[3738] ИП Акопян Гагик Ромикович</t>
  </si>
  <si>
    <t>500118405252</t>
  </si>
  <si>
    <t>[3742] КХФ "ДОБРЫЙ ФЕРМЕР"</t>
  </si>
  <si>
    <t>5031146513</t>
  </si>
  <si>
    <t>[3743] ООО "ТЕСО ТРАНС"</t>
  </si>
  <si>
    <t>5050112559</t>
  </si>
  <si>
    <t>[3744] ООО "Галла-Кабель М"</t>
  </si>
  <si>
    <t>7706513536</t>
  </si>
  <si>
    <t>[3745] ООО "ЛИФТ-РУ"</t>
  </si>
  <si>
    <t>7743454649</t>
  </si>
  <si>
    <t>[3746] ИП Савченко Н.В.</t>
  </si>
  <si>
    <t>503115567557</t>
  </si>
  <si>
    <t>[3747] ООО "ЛидерСтрой"</t>
  </si>
  <si>
    <t>7722281071</t>
  </si>
  <si>
    <t>[3749] ООО "Юпи Чех"</t>
  </si>
  <si>
    <t>5048016417</t>
  </si>
  <si>
    <t>[3750] ООО "РТК" ТКО-3904/25</t>
  </si>
  <si>
    <t>7816687334</t>
  </si>
  <si>
    <t>[3754] ООО "ГрандАвто" ТКО- 3906/25 ЗАКРЫТ</t>
  </si>
  <si>
    <t>1832146483</t>
  </si>
  <si>
    <t>[3758] ООО "ПРОЖЕКТ СТРОЙ"</t>
  </si>
  <si>
    <t>9710099551</t>
  </si>
  <si>
    <t>[3764]  УК ЦПК"ИС "СЫНКОВО" бывший СтройИнвест</t>
  </si>
  <si>
    <t>5036164932</t>
  </si>
  <si>
    <t>[3765] ИП Липкин М.Ю.</t>
  </si>
  <si>
    <t>643966539749</t>
  </si>
  <si>
    <t>[3770] ИП Соболев Д.С.</t>
  </si>
  <si>
    <t>772030411446</t>
  </si>
  <si>
    <t>[3773] ООО "СД-Таир"</t>
  </si>
  <si>
    <t>7751225392</t>
  </si>
  <si>
    <t>[3774] ООО "Ферма Козино"</t>
  </si>
  <si>
    <t>5074068764</t>
  </si>
  <si>
    <t>[3777] ООО "ИНВЕСТАВТОДОР"</t>
  </si>
  <si>
    <t>7723433873</t>
  </si>
  <si>
    <t>[3778] ИП Мошкин Д.В.</t>
  </si>
  <si>
    <t>504008770605</t>
  </si>
  <si>
    <t>[3780] ООО "Медоргуз"</t>
  </si>
  <si>
    <t>9723117381</t>
  </si>
  <si>
    <t>[3781] ООО "РАЗВИТИЕ" ТКО-3933/25</t>
  </si>
  <si>
    <t>9723257131</t>
  </si>
  <si>
    <t>[3783] ООО ЧОП "Стража+"</t>
  </si>
  <si>
    <t>5042100662</t>
  </si>
  <si>
    <t>[3789] ООО "НТЦМ"</t>
  </si>
  <si>
    <t>5031111246</t>
  </si>
  <si>
    <t>[3790] ООО "ВЕКТОР" ТКО-3942/25 от 05 05 2025</t>
  </si>
  <si>
    <t>5031073304</t>
  </si>
  <si>
    <t>[3791] ООО "Русинструменты"</t>
  </si>
  <si>
    <t>5027334458</t>
  </si>
  <si>
    <t>[3792] ООО "ХАЙТАЙЛ"</t>
  </si>
  <si>
    <t>9728103600</t>
  </si>
  <si>
    <t>[3793] ООО "Детский доктор"</t>
  </si>
  <si>
    <t>7728359038</t>
  </si>
  <si>
    <t>[3794] ООО "БАЗОН"</t>
  </si>
  <si>
    <t>7725766758</t>
  </si>
  <si>
    <t>[3795] ООО "Алькор"</t>
  </si>
  <si>
    <t>5036157413</t>
  </si>
  <si>
    <t>[3797] ИП Ясиновский И.В.</t>
  </si>
  <si>
    <t>505398174685</t>
  </si>
  <si>
    <t>[3798] ООО "ГАРМОНИЯ ЛАЙТ"</t>
  </si>
  <si>
    <t>5029262255</t>
  </si>
  <si>
    <t>[3799] АО "БАЗИС ИНВЕСТ"</t>
  </si>
  <si>
    <t>9706022362</t>
  </si>
  <si>
    <t>[3805] ООО "ЯМО-БУР"</t>
  </si>
  <si>
    <t>9705098344</t>
  </si>
  <si>
    <t>[3807] ИП Мартынов К.В.</t>
  </si>
  <si>
    <t>504790349424</t>
  </si>
  <si>
    <t>[3809] ИП Самойлов М.З.</t>
  </si>
  <si>
    <t>771994499006</t>
  </si>
  <si>
    <t>[3812] ООО "Рассвет"</t>
  </si>
  <si>
    <t>5036061447</t>
  </si>
  <si>
    <t>[3813] ООО "КАМЕЛОТ"</t>
  </si>
  <si>
    <t>9726094397</t>
  </si>
  <si>
    <t>[3814] ООО "АВТОГЛОБУС"</t>
  </si>
  <si>
    <t>9721020899</t>
  </si>
  <si>
    <t>[3815] ООО ТК "Глобус"</t>
  </si>
  <si>
    <t>5050094846</t>
  </si>
  <si>
    <t>[3816] ООО "Ресурс-Медиа"</t>
  </si>
  <si>
    <t>7703474840</t>
  </si>
  <si>
    <t>[3818] ООО "АЛИОТ"</t>
  </si>
  <si>
    <t>7708443080</t>
  </si>
  <si>
    <t>[3821] ИП Петров Д.Н.</t>
  </si>
  <si>
    <t>211684772609</t>
  </si>
  <si>
    <t>[3822] ИП Козлов А.В.</t>
  </si>
  <si>
    <t>463228014742</t>
  </si>
  <si>
    <t>[3826] ООО "Прометей"</t>
  </si>
  <si>
    <t>5007084351</t>
  </si>
  <si>
    <t>[3827] ООО "УК  дачного поселка "НЕРОЩИНО"</t>
  </si>
  <si>
    <t>7730634161</t>
  </si>
  <si>
    <t>[3828] ООО "Альянс" ТКО- 3983/25</t>
  </si>
  <si>
    <t>7725837350</t>
  </si>
  <si>
    <t>[3830] ООО "АДИТОН"</t>
  </si>
  <si>
    <t>7722802510</t>
  </si>
  <si>
    <t>[3832] ИП Захаров А.Н.</t>
  </si>
  <si>
    <t>771604701460</t>
  </si>
  <si>
    <t>[3833] ООО "Конструктив"</t>
  </si>
  <si>
    <t>6325046993</t>
  </si>
  <si>
    <t>[3836] ИП Хейккиля Харри Аарнэ Олави</t>
  </si>
  <si>
    <t>773365202100</t>
  </si>
  <si>
    <t>[3840] ИП Емелькин И.А.</t>
  </si>
  <si>
    <t>773434292588</t>
  </si>
  <si>
    <t>[3841] ИП Щербаков И.В.</t>
  </si>
  <si>
    <t>504015324520</t>
  </si>
  <si>
    <t>[3845] ООО "ПК Норманд Фастенерс"</t>
  </si>
  <si>
    <t>5036144703</t>
  </si>
  <si>
    <t>[3846] ООО "СТРОЙКОМПЛЕКС" ТКО-4004/25</t>
  </si>
  <si>
    <t>5031155540</t>
  </si>
  <si>
    <t>[3850] ООО  "ТОП АЙДИ"</t>
  </si>
  <si>
    <t>7733366545</t>
  </si>
  <si>
    <t>[3852] ООО "Техмаш-СТ"</t>
  </si>
  <si>
    <t>9723233966</t>
  </si>
  <si>
    <t>[3853] ООО "Ателье на Ангарской"</t>
  </si>
  <si>
    <t>7713549340</t>
  </si>
  <si>
    <t>[3856] ИП Согомонян А.М.</t>
  </si>
  <si>
    <t>504026427937</t>
  </si>
  <si>
    <t>[3857] ООО "ГТЦ"</t>
  </si>
  <si>
    <t>Общество с ограниченной ответс</t>
  </si>
  <si>
    <t>[3858] ООО "Зигзаг"</t>
  </si>
  <si>
    <t>7709902467</t>
  </si>
  <si>
    <t>[3862] ООО "ИННОВАТОР"</t>
  </si>
  <si>
    <t>7728453672</t>
  </si>
  <si>
    <t>[3863] ООО "ИННОВАТОР БЕТОН"</t>
  </si>
  <si>
    <t>9728006519</t>
  </si>
  <si>
    <t>[3864] ООО "Компания Икс-Бетон"</t>
  </si>
  <si>
    <t>7736683912</t>
  </si>
  <si>
    <t>[3865] ООО "УК "Доверие Богородского гор. окр"</t>
  </si>
  <si>
    <t>5031155300</t>
  </si>
  <si>
    <t>[3868] ООО "ВИТАЛИЯ"</t>
  </si>
  <si>
    <t>5043079283</t>
  </si>
  <si>
    <t>[3869] ИП Балябин Е.А.</t>
  </si>
  <si>
    <t>500112902610</t>
  </si>
  <si>
    <t>[3870] ООО "Транс-Логистик"</t>
  </si>
  <si>
    <t>5003102909</t>
  </si>
  <si>
    <t>[3872] ООО "Строй Капитал"</t>
  </si>
  <si>
    <t>7729549578</t>
  </si>
  <si>
    <t>[3874] ООО "Сталь БК групп"</t>
  </si>
  <si>
    <t>5020093813</t>
  </si>
  <si>
    <t>[3877] ООО "ТД ТрансКард"</t>
  </si>
  <si>
    <t>7725266272</t>
  </si>
  <si>
    <t>Итого</t>
  </si>
  <si>
    <t>Примечание</t>
  </si>
  <si>
    <t>Обозначения</t>
  </si>
  <si>
    <t>№ - порядковый номер записи отчета</t>
  </si>
  <si>
    <t>Клиент - [Номер клиента] Название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</si>
</sst>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b/>
      <sz val="10"/>
      <name val="Arial Cyr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i/>
      <sz val="8"/>
      <name val="Arial Cyr"/>
      <charset val="204"/>
    </font>
    <font>
      <sz val="9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</fonts>
  <fills count="2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</borders>
  <cellStyleXfs count="4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7" borderId="0" applyNumberFormat="0" applyBorder="0" applyAlignment="0" applyProtection="0"/>
    <xf numFmtId="0" fontId="11" fillId="7" borderId="1" applyNumberFormat="0" applyAlignment="0" applyProtection="0"/>
    <xf numFmtId="0" fontId="12" fillId="18" borderId="2" applyNumberFormat="0" applyAlignment="0" applyProtection="0"/>
    <xf numFmtId="0" fontId="13" fillId="18" borderId="1" applyNumberFormat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8" fillId="19" borderId="7" applyNumberFormat="0" applyAlignment="0" applyProtection="0"/>
    <xf numFmtId="0" fontId="19" fillId="0" borderId="0" applyNumberFormat="0" applyFill="0" applyBorder="0" applyAlignment="0" applyProtection="0"/>
    <xf numFmtId="0" fontId="20" fillId="20" borderId="0" applyNumberFormat="0" applyBorder="0" applyAlignment="0" applyProtection="0"/>
    <xf numFmtId="0" fontId="21" fillId="3" borderId="0" applyNumberFormat="0" applyBorder="0" applyAlignment="0" applyProtection="0"/>
    <xf numFmtId="0" fontId="22" fillId="0" borderId="0" applyNumberFormat="0" applyFill="0" applyBorder="0" applyAlignment="0" applyProtection="0"/>
    <xf numFmtId="0" fontId="2" fillId="21" borderId="8" applyNumberFormat="0" applyFont="0" applyAlignment="0" applyProtection="0"/>
    <xf numFmtId="0" fontId="9" fillId="21" borderId="8" applyNumberFormat="0" applyFont="0" applyAlignment="0" applyProtection="0"/>
    <xf numFmtId="0" fontId="2" fillId="21" borderId="8" applyNumberFormat="0" applyFont="0" applyAlignment="0" applyProtection="0"/>
    <xf numFmtId="0" fontId="2" fillId="21" borderId="8" applyNumberFormat="0" applyFont="0" applyAlignment="0" applyProtection="0"/>
    <xf numFmtId="0" fontId="2" fillId="21" borderId="8" applyNumberFormat="0" applyFont="0" applyAlignment="0" applyProtection="0"/>
    <xf numFmtId="0" fontId="23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5" fillId="4" borderId="0" applyNumberFormat="0" applyBorder="0" applyAlignment="0" applyProtection="0"/>
  </cellStyleXfs>
  <cellXfs count="70">
    <xf numFmtId="0" fontId="0" fillId="0" borderId="0" xfId="0"/>
    <xf numFmtId="0" fontId="0" fillId="22" borderId="0" xfId="0" applyFill="1" applyBorder="1"/>
    <xf numFmtId="0" fontId="3" fillId="22" borderId="0" xfId="0" applyFont="1" applyFill="1" applyBorder="1"/>
    <xf numFmtId="0" fontId="0" fillId="22" borderId="0" xfId="0" applyFill="1"/>
    <xf numFmtId="0" fontId="5" fillId="22" borderId="0" xfId="0" applyFont="1" applyFill="1" applyBorder="1"/>
    <xf numFmtId="0" fontId="6" fillId="22" borderId="0" xfId="0" applyFont="1" applyFill="1" applyBorder="1"/>
    <xf numFmtId="0" fontId="5" fillId="22" borderId="0" xfId="0" applyFont="1" applyFill="1"/>
    <xf numFmtId="0" fontId="8" fillId="22" borderId="0" xfId="0" applyFont="1" applyFill="1" applyBorder="1"/>
    <xf numFmtId="3" fontId="5" fillId="22" borderId="0" xfId="0" applyNumberFormat="1" applyFont="1" applyFill="1" applyBorder="1" applyAlignment="1">
      <alignment horizontal="right" wrapText="1" shrinkToFit="1"/>
    </xf>
    <xf numFmtId="49" fontId="8" fillId="22" borderId="14" xfId="0" applyNumberFormat="1" applyFont="1" applyFill="1" applyBorder="1" applyAlignment="1">
      <alignment horizontal="center" vertical="center" wrapText="1"/>
    </xf>
    <xf numFmtId="49" fontId="7" fillId="22" borderId="0" xfId="0" applyNumberFormat="1" applyFont="1" applyFill="1" applyBorder="1" applyAlignment="1">
      <alignment horizontal="left" vertical="center" indent="1"/>
    </xf>
    <xf numFmtId="4" fontId="5" fillId="22" borderId="16" xfId="0" applyNumberFormat="1" applyFont="1" applyFill="1" applyBorder="1" applyAlignment="1">
      <alignment horizontal="right" vertical="center" indent="1"/>
    </xf>
    <xf numFmtId="4" fontId="5" fillId="22" borderId="12" xfId="0" applyNumberFormat="1" applyFont="1" applyFill="1" applyBorder="1" applyAlignment="1">
      <alignment horizontal="right" vertical="center" indent="1"/>
    </xf>
    <xf numFmtId="0" fontId="8" fillId="22" borderId="0" xfId="0" applyFont="1" applyFill="1"/>
    <xf numFmtId="0" fontId="8" fillId="0" borderId="0" xfId="0" applyFont="1"/>
    <xf numFmtId="49" fontId="5" fillId="22" borderId="17" xfId="0" applyNumberFormat="1" applyFont="1" applyFill="1" applyBorder="1" applyAlignment="1">
      <alignment horizontal="left" vertical="center" indent="1"/>
    </xf>
    <xf numFmtId="0" fontId="5" fillId="22" borderId="18" xfId="0" applyFont="1" applyFill="1" applyBorder="1"/>
    <xf numFmtId="3" fontId="5" fillId="22" borderId="19" xfId="0" applyNumberFormat="1" applyFont="1" applyFill="1" applyBorder="1" applyAlignment="1">
      <alignment horizontal="right" vertical="center"/>
    </xf>
    <xf numFmtId="49" fontId="6" fillId="22" borderId="0" xfId="0" applyNumberFormat="1" applyFont="1" applyFill="1" applyBorder="1" applyAlignment="1">
      <alignment horizontal="right" vertical="center" indent="1"/>
    </xf>
    <xf numFmtId="4" fontId="6" fillId="22" borderId="0" xfId="0" applyNumberFormat="1" applyFont="1" applyFill="1" applyBorder="1" applyAlignment="1">
      <alignment horizontal="right" vertical="center" indent="1"/>
    </xf>
    <xf numFmtId="0" fontId="7" fillId="22" borderId="0" xfId="0" applyFont="1" applyFill="1" applyBorder="1" applyAlignment="1">
      <alignment horizontal="left" indent="1"/>
    </xf>
    <xf numFmtId="0" fontId="7" fillId="22" borderId="0" xfId="0" applyFont="1" applyFill="1" applyBorder="1" applyAlignment="1">
      <alignment horizontal="left" indent="2"/>
    </xf>
    <xf numFmtId="49" fontId="8" fillId="22" borderId="22" xfId="0" applyNumberFormat="1" applyFont="1" applyFill="1" applyBorder="1" applyAlignment="1">
      <alignment horizontal="center" vertical="center" wrapText="1"/>
    </xf>
    <xf numFmtId="0" fontId="5" fillId="22" borderId="0" xfId="0" applyFont="1" applyFill="1" applyBorder="1" applyAlignment="1">
      <alignment horizontal="left" vertical="center"/>
    </xf>
    <xf numFmtId="0" fontId="7" fillId="22" borderId="0" xfId="0" applyNumberFormat="1" applyFont="1" applyFill="1" applyBorder="1" applyAlignment="1">
      <alignment horizontal="left" vertical="center" indent="1"/>
    </xf>
    <xf numFmtId="49" fontId="8" fillId="22" borderId="29" xfId="0" applyNumberFormat="1" applyFont="1" applyFill="1" applyBorder="1" applyAlignment="1">
      <alignment horizontal="center" vertical="center" wrapText="1"/>
    </xf>
    <xf numFmtId="4" fontId="6" fillId="22" borderId="20" xfId="0" applyNumberFormat="1" applyFont="1" applyFill="1" applyBorder="1" applyAlignment="1">
      <alignment horizontal="right" vertical="center" indent="1" shrinkToFit="1"/>
    </xf>
    <xf numFmtId="4" fontId="6" fillId="22" borderId="24" xfId="0" applyNumberFormat="1" applyFont="1" applyFill="1" applyBorder="1" applyAlignment="1">
      <alignment horizontal="right" vertical="center" indent="1" shrinkToFit="1"/>
    </xf>
    <xf numFmtId="4" fontId="6" fillId="22" borderId="30" xfId="0" applyNumberFormat="1" applyFont="1" applyFill="1" applyBorder="1" applyAlignment="1">
      <alignment horizontal="right" vertical="center" indent="1" shrinkToFit="1"/>
    </xf>
    <xf numFmtId="4" fontId="6" fillId="22" borderId="21" xfId="0" applyNumberFormat="1" applyFont="1" applyFill="1" applyBorder="1" applyAlignment="1">
      <alignment horizontal="right" vertical="center" indent="1" shrinkToFit="1"/>
    </xf>
    <xf numFmtId="4" fontId="5" fillId="22" borderId="12" xfId="0" applyNumberFormat="1" applyFont="1" applyFill="1" applyBorder="1" applyAlignment="1">
      <alignment horizontal="right" vertical="center" indent="1" shrinkToFit="1"/>
    </xf>
    <xf numFmtId="4" fontId="5" fillId="22" borderId="16" xfId="0" applyNumberFormat="1" applyFont="1" applyFill="1" applyBorder="1" applyAlignment="1">
      <alignment horizontal="right" vertical="center" indent="1" shrinkToFit="1"/>
    </xf>
    <xf numFmtId="49" fontId="6" fillId="22" borderId="18" xfId="0" applyNumberFormat="1" applyFont="1" applyFill="1" applyBorder="1" applyAlignment="1">
      <alignment horizontal="right" vertical="center" indent="1"/>
    </xf>
    <xf numFmtId="49" fontId="8" fillId="22" borderId="32" xfId="0" applyNumberFormat="1" applyFont="1" applyFill="1" applyBorder="1" applyAlignment="1">
      <alignment horizontal="center" vertical="center"/>
    </xf>
    <xf numFmtId="49" fontId="8" fillId="22" borderId="25" xfId="0" applyNumberFormat="1" applyFont="1" applyFill="1" applyBorder="1" applyAlignment="1">
      <alignment horizontal="center" vertical="center"/>
    </xf>
    <xf numFmtId="49" fontId="8" fillId="22" borderId="15" xfId="0" applyNumberFormat="1" applyFont="1" applyFill="1" applyBorder="1" applyAlignment="1">
      <alignment horizontal="center" vertical="center"/>
    </xf>
    <xf numFmtId="49" fontId="8" fillId="22" borderId="29" xfId="0" applyNumberFormat="1" applyFont="1" applyFill="1" applyBorder="1" applyAlignment="1">
      <alignment horizontal="center" vertical="center"/>
    </xf>
    <xf numFmtId="0" fontId="5" fillId="22" borderId="0" xfId="0" applyFont="1" applyFill="1" applyBorder="1" applyAlignment="1">
      <alignment horizontal="left" vertical="center"/>
    </xf>
    <xf numFmtId="49" fontId="8" fillId="22" borderId="10" xfId="0" applyNumberFormat="1" applyFont="1" applyFill="1" applyBorder="1" applyAlignment="1">
      <alignment horizontal="center" vertical="center"/>
    </xf>
    <xf numFmtId="49" fontId="8" fillId="22" borderId="13" xfId="0" applyNumberFormat="1" applyFont="1" applyFill="1" applyBorder="1" applyAlignment="1">
      <alignment horizontal="center" vertical="center"/>
    </xf>
    <xf numFmtId="49" fontId="6" fillId="22" borderId="18" xfId="0" applyNumberFormat="1" applyFont="1" applyFill="1" applyBorder="1" applyAlignment="1">
      <alignment horizontal="right" vertical="center" indent="1"/>
    </xf>
    <xf numFmtId="49" fontId="5" fillId="22" borderId="27" xfId="0" applyNumberFormat="1" applyFont="1" applyFill="1" applyBorder="1" applyAlignment="1">
      <alignment horizontal="left" vertical="center" indent="1"/>
    </xf>
    <xf numFmtId="49" fontId="8" fillId="22" borderId="33" xfId="0" applyNumberFormat="1" applyFont="1" applyFill="1" applyBorder="1" applyAlignment="1">
      <alignment horizontal="center" vertical="center" wrapText="1"/>
    </xf>
    <xf numFmtId="49" fontId="8" fillId="22" borderId="12" xfId="0" applyNumberFormat="1" applyFont="1" applyFill="1" applyBorder="1" applyAlignment="1">
      <alignment horizontal="center" vertical="center" wrapText="1"/>
    </xf>
    <xf numFmtId="49" fontId="8" fillId="22" borderId="22" xfId="0" applyNumberFormat="1" applyFont="1" applyFill="1" applyBorder="1" applyAlignment="1">
      <alignment horizontal="center" vertical="center" wrapText="1"/>
    </xf>
    <xf numFmtId="49" fontId="8" fillId="22" borderId="34" xfId="0" applyNumberFormat="1" applyFont="1" applyFill="1" applyBorder="1" applyAlignment="1">
      <alignment horizontal="center" vertical="center"/>
    </xf>
    <xf numFmtId="49" fontId="8" fillId="22" borderId="31" xfId="0" applyNumberFormat="1" applyFont="1" applyFill="1" applyBorder="1" applyAlignment="1">
      <alignment horizontal="center" vertical="center"/>
    </xf>
    <xf numFmtId="49" fontId="8" fillId="22" borderId="23" xfId="0" applyNumberFormat="1" applyFont="1" applyFill="1" applyBorder="1" applyAlignment="1">
      <alignment horizontal="center" vertical="center"/>
    </xf>
    <xf numFmtId="49" fontId="4" fillId="22" borderId="0" xfId="0" applyNumberFormat="1" applyFont="1" applyFill="1" applyBorder="1" applyAlignment="1">
      <alignment horizontal="center" vertical="center"/>
    </xf>
    <xf numFmtId="49" fontId="8" fillId="22" borderId="26" xfId="0" applyNumberFormat="1" applyFont="1" applyFill="1" applyBorder="1" applyAlignment="1">
      <alignment horizontal="center" vertical="center" wrapText="1"/>
    </xf>
    <xf numFmtId="49" fontId="8" fillId="22" borderId="16" xfId="0" applyNumberFormat="1" applyFont="1" applyFill="1" applyBorder="1" applyAlignment="1">
      <alignment horizontal="center" vertical="center" wrapText="1"/>
    </xf>
    <xf numFmtId="49" fontId="8" fillId="22" borderId="14" xfId="0" applyNumberFormat="1" applyFont="1" applyFill="1" applyBorder="1" applyAlignment="1">
      <alignment horizontal="center" vertical="center" wrapText="1"/>
    </xf>
    <xf numFmtId="49" fontId="8" fillId="22" borderId="35" xfId="0" applyNumberFormat="1" applyFont="1" applyFill="1" applyBorder="1" applyAlignment="1">
      <alignment horizontal="center" vertical="center" wrapText="1"/>
    </xf>
    <xf numFmtId="49" fontId="5" fillId="22" borderId="11" xfId="0" applyNumberFormat="1" applyFont="1" applyFill="1" applyBorder="1" applyAlignment="1">
      <alignment horizontal="left" vertical="center" indent="1"/>
    </xf>
    <xf numFmtId="0" fontId="7" fillId="22" borderId="0" xfId="0" applyNumberFormat="1" applyFont="1" applyFill="1" applyBorder="1" applyAlignment="1">
      <alignment horizontal="left" indent="1"/>
    </xf>
    <xf numFmtId="4" fontId="5" fillId="22" borderId="28" xfId="0" applyNumberFormat="1" applyFont="1" applyFill="1" applyBorder="1" applyAlignment="1">
      <alignment horizontal="right" vertical="center" indent="1" shrinkToFit="1"/>
    </xf>
    <xf numFmtId="49" fontId="8" fillId="22" borderId="36" xfId="0" applyNumberFormat="1" applyFont="1" applyFill="1" applyBorder="1" applyAlignment="1">
      <alignment horizontal="center" vertical="center" wrapText="1"/>
    </xf>
    <xf numFmtId="49" fontId="8" fillId="22" borderId="37" xfId="0" applyNumberFormat="1" applyFont="1" applyFill="1" applyBorder="1" applyAlignment="1">
      <alignment horizontal="center" vertical="center" wrapText="1"/>
    </xf>
    <xf numFmtId="4" fontId="5" fillId="22" borderId="38" xfId="0" applyNumberFormat="1" applyFont="1" applyFill="1" applyBorder="1" applyAlignment="1">
      <alignment horizontal="right" vertical="center" indent="1" shrinkToFit="1"/>
    </xf>
    <xf numFmtId="4" fontId="6" fillId="22" borderId="39" xfId="0" applyNumberFormat="1" applyFont="1" applyFill="1" applyBorder="1" applyAlignment="1">
      <alignment horizontal="right" vertical="center" indent="1" shrinkToFit="1"/>
    </xf>
    <xf numFmtId="49" fontId="8" fillId="22" borderId="40" xfId="0" applyNumberFormat="1" applyFont="1" applyFill="1" applyBorder="1" applyAlignment="1">
      <alignment horizontal="center" vertical="center"/>
    </xf>
    <xf numFmtId="49" fontId="8" fillId="22" borderId="41" xfId="0" applyNumberFormat="1" applyFont="1" applyFill="1" applyBorder="1" applyAlignment="1">
      <alignment horizontal="center" vertical="center"/>
    </xf>
    <xf numFmtId="49" fontId="8" fillId="22" borderId="42" xfId="0" applyNumberFormat="1" applyFont="1" applyFill="1" applyBorder="1" applyAlignment="1">
      <alignment horizontal="center" vertical="center"/>
    </xf>
    <xf numFmtId="49" fontId="8" fillId="22" borderId="43" xfId="0" applyNumberFormat="1" applyFont="1" applyFill="1" applyBorder="1" applyAlignment="1">
      <alignment horizontal="center" vertical="center"/>
    </xf>
    <xf numFmtId="49" fontId="8" fillId="22" borderId="44" xfId="0" applyNumberFormat="1" applyFont="1" applyFill="1" applyBorder="1" applyAlignment="1">
      <alignment horizontal="center" vertical="center"/>
    </xf>
    <xf numFmtId="49" fontId="8" fillId="22" borderId="28" xfId="0" applyNumberFormat="1" applyFont="1" applyFill="1" applyBorder="1" applyAlignment="1">
      <alignment horizontal="center" vertical="center" wrapText="1"/>
    </xf>
    <xf numFmtId="49" fontId="8" fillId="22" borderId="45" xfId="0" applyNumberFormat="1" applyFont="1" applyFill="1" applyBorder="1" applyAlignment="1">
      <alignment horizontal="center" vertical="center"/>
    </xf>
    <xf numFmtId="49" fontId="8" fillId="22" borderId="46" xfId="0" applyNumberFormat="1" applyFont="1" applyFill="1" applyBorder="1" applyAlignment="1">
      <alignment horizontal="center" vertical="center"/>
    </xf>
    <xf numFmtId="49" fontId="8" fillId="22" borderId="47" xfId="0" applyNumberFormat="1" applyFont="1" applyFill="1" applyBorder="1" applyAlignment="1">
      <alignment horizontal="center" vertical="center"/>
    </xf>
    <xf numFmtId="22" fontId="7" fillId="22" borderId="0" xfId="0" applyNumberFormat="1" applyFont="1" applyFill="1" applyBorder="1" applyAlignment="1">
      <alignment horizontal="left" indent="1"/>
    </xf>
  </cellXfs>
  <cellStyles count="40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Акцент1" xfId="13" builtinId="29" customBuiltin="1"/>
    <cellStyle name="Акцент2" xfId="14" builtinId="33" customBuiltin="1"/>
    <cellStyle name="Акцент3" xfId="15" builtinId="37" customBuiltin="1"/>
    <cellStyle name="Акцент4" xfId="16" builtinId="41" customBuiltin="1"/>
    <cellStyle name="Акцент5" xfId="17" builtinId="45" customBuiltin="1"/>
    <cellStyle name="Акцент6" xfId="18" builtinId="49" customBuiltin="1"/>
    <cellStyle name="Ввод " xfId="19" builtinId="20" customBuiltin="1"/>
    <cellStyle name="Вывод" xfId="20" builtinId="21" customBuiltin="1"/>
    <cellStyle name="Вычисление" xfId="21" builtinId="22" customBuiltin="1"/>
    <cellStyle name="Заголовок 1" xfId="22" builtinId="16" customBuiltin="1"/>
    <cellStyle name="Заголовок 2" xfId="23" builtinId="17" customBuiltin="1"/>
    <cellStyle name="Заголовок 3" xfId="24" builtinId="18" customBuiltin="1"/>
    <cellStyle name="Заголовок 4" xfId="25" builtinId="19" customBuiltin="1"/>
    <cellStyle name="Итог" xfId="26" builtinId="25" customBuiltin="1"/>
    <cellStyle name="Контрольная ячейка" xfId="27" builtinId="23" customBuiltin="1"/>
    <cellStyle name="Название" xfId="28" builtinId="15" customBuiltin="1"/>
    <cellStyle name="Нейтральный" xfId="29" builtinId="28" customBuiltin="1"/>
    <cellStyle name="Обычный" xfId="0" builtinId="0"/>
    <cellStyle name="Плохой" xfId="30" builtinId="27" customBuiltin="1"/>
    <cellStyle name="Пояснение" xfId="31" builtinId="53" customBuiltin="1"/>
    <cellStyle name="Примечание" xfId="32" builtinId="10" customBuiltin="1"/>
    <cellStyle name="Примечание 2" xfId="33"/>
    <cellStyle name="Примечание 2 2" xfId="34"/>
    <cellStyle name="Примечание 3" xfId="35"/>
    <cellStyle name="Примечание 4" xfId="36"/>
    <cellStyle name="Связанная ячейка" xfId="37" builtinId="24" customBuiltin="1"/>
    <cellStyle name="Текст предупреждения" xfId="38" builtinId="11" customBuiltin="1"/>
    <cellStyle name="Хороший" xfId="39" builtinId="26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>
    <pageSetUpPr fitToPage="1"/>
  </sheetPr>
  <dimension ref="A1:AI582"/>
  <sheetViews>
    <sheetView tabSelected="1" workbookViewId="0">
      <selection activeCell="C6" sqref="C6:D8"/>
    </sheetView>
  </sheetViews>
  <sheetFormatPr defaultRowHeight="12.75" x14ac:dyDescent="0.2"/>
  <cols>
    <col min="1" max="1" width="1.7109375" customWidth="1"/>
    <col min="2" max="2" width="4.28515625" customWidth="1"/>
    <col min="3" max="3" width="2" customWidth="1"/>
    <col min="4" max="4" width="25.7109375" customWidth="1"/>
    <col min="5" max="5" width="19.7109375" customWidth="1"/>
    <col min="6" max="6" width="9" customWidth="1"/>
    <col min="7" max="31" width="10.7109375" customWidth="1"/>
    <col min="32" max="34" width="11.42578125" customWidth="1"/>
    <col min="35" max="35" width="1.42578125" customWidth="1"/>
  </cols>
  <sheetData>
    <row r="1" spans="1:3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3"/>
      <c r="AG1" s="3"/>
      <c r="AH1" s="3"/>
      <c r="AI1" s="3"/>
    </row>
    <row r="2" spans="1:35" x14ac:dyDescent="0.2">
      <c r="A2" s="1"/>
      <c r="B2" s="69">
        <v>46065.68372685185</v>
      </c>
      <c r="C2" s="54"/>
      <c r="D2" s="54"/>
      <c r="E2" s="10"/>
      <c r="F2" s="24" t="s">
        <v>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3"/>
      <c r="AG2" s="3"/>
      <c r="AH2" s="3"/>
      <c r="AI2" s="3"/>
    </row>
    <row r="3" spans="1:35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3"/>
      <c r="AG3" s="3"/>
      <c r="AH3" s="3"/>
      <c r="AI3" s="3"/>
    </row>
    <row r="4" spans="1:35" ht="18" x14ac:dyDescent="0.2">
      <c r="A4" s="1"/>
      <c r="B4" s="48" t="s">
        <v>2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3"/>
    </row>
    <row r="5" spans="1:35" ht="13.5" thickBot="1" x14ac:dyDescent="0.25">
      <c r="A5" s="1"/>
      <c r="B5" s="2"/>
      <c r="C5" s="4"/>
      <c r="D5" s="4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3"/>
      <c r="AG5" s="3"/>
      <c r="AH5" s="3"/>
      <c r="AI5" s="3"/>
    </row>
    <row r="6" spans="1:35" s="14" customFormat="1" thickBot="1" x14ac:dyDescent="0.25">
      <c r="A6" s="7"/>
      <c r="B6" s="34" t="s">
        <v>0</v>
      </c>
      <c r="C6" s="33" t="s">
        <v>3</v>
      </c>
      <c r="D6" s="33"/>
      <c r="E6" s="45" t="s">
        <v>4</v>
      </c>
      <c r="F6" s="62" t="s">
        <v>5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4"/>
      <c r="AF6" s="52" t="s">
        <v>6</v>
      </c>
      <c r="AG6" s="42" t="s">
        <v>7</v>
      </c>
      <c r="AH6" s="49" t="s">
        <v>8</v>
      </c>
      <c r="AI6" s="13"/>
    </row>
    <row r="7" spans="1:35" s="14" customFormat="1" ht="12" x14ac:dyDescent="0.2">
      <c r="A7" s="7"/>
      <c r="B7" s="35"/>
      <c r="C7" s="38"/>
      <c r="D7" s="38"/>
      <c r="E7" s="46"/>
      <c r="F7" s="60" t="s">
        <v>9</v>
      </c>
      <c r="G7" s="61"/>
      <c r="H7" s="66" t="s">
        <v>10</v>
      </c>
      <c r="I7" s="67"/>
      <c r="J7" s="68" t="s">
        <v>11</v>
      </c>
      <c r="K7" s="67"/>
      <c r="L7" s="68" t="s">
        <v>12</v>
      </c>
      <c r="M7" s="67"/>
      <c r="N7" s="68" t="s">
        <v>13</v>
      </c>
      <c r="O7" s="67"/>
      <c r="P7" s="68" t="s">
        <v>14</v>
      </c>
      <c r="Q7" s="67"/>
      <c r="R7" s="68" t="s">
        <v>15</v>
      </c>
      <c r="S7" s="67"/>
      <c r="T7" s="68" t="s">
        <v>16</v>
      </c>
      <c r="U7" s="67"/>
      <c r="V7" s="68" t="s">
        <v>17</v>
      </c>
      <c r="W7" s="67"/>
      <c r="X7" s="68" t="s">
        <v>18</v>
      </c>
      <c r="Y7" s="67"/>
      <c r="Z7" s="68" t="s">
        <v>19</v>
      </c>
      <c r="AA7" s="67"/>
      <c r="AB7" s="68" t="s">
        <v>20</v>
      </c>
      <c r="AC7" s="67"/>
      <c r="AD7" s="68" t="s">
        <v>21</v>
      </c>
      <c r="AE7" s="67"/>
      <c r="AF7" s="65"/>
      <c r="AG7" s="43"/>
      <c r="AH7" s="50"/>
      <c r="AI7" s="13"/>
    </row>
    <row r="8" spans="1:35" s="14" customFormat="1" ht="42" customHeight="1" thickBot="1" x14ac:dyDescent="0.25">
      <c r="A8" s="7"/>
      <c r="B8" s="36"/>
      <c r="C8" s="39"/>
      <c r="D8" s="39"/>
      <c r="E8" s="47"/>
      <c r="F8" s="25" t="s">
        <v>22</v>
      </c>
      <c r="G8" s="9" t="s">
        <v>23</v>
      </c>
      <c r="H8" s="22" t="s">
        <v>22</v>
      </c>
      <c r="I8" s="57" t="s">
        <v>23</v>
      </c>
      <c r="J8" s="22" t="s">
        <v>24</v>
      </c>
      <c r="K8" s="57" t="s">
        <v>23</v>
      </c>
      <c r="L8" s="22" t="s">
        <v>22</v>
      </c>
      <c r="M8" s="57" t="s">
        <v>23</v>
      </c>
      <c r="N8" s="22" t="s">
        <v>22</v>
      </c>
      <c r="O8" s="57" t="s">
        <v>23</v>
      </c>
      <c r="P8" s="22" t="s">
        <v>22</v>
      </c>
      <c r="Q8" s="57" t="s">
        <v>23</v>
      </c>
      <c r="R8" s="22" t="s">
        <v>22</v>
      </c>
      <c r="S8" s="57" t="s">
        <v>23</v>
      </c>
      <c r="T8" s="22" t="s">
        <v>22</v>
      </c>
      <c r="U8" s="57" t="s">
        <v>23</v>
      </c>
      <c r="V8" s="22" t="s">
        <v>22</v>
      </c>
      <c r="W8" s="57" t="s">
        <v>23</v>
      </c>
      <c r="X8" s="22" t="s">
        <v>24</v>
      </c>
      <c r="Y8" s="57" t="s">
        <v>23</v>
      </c>
      <c r="Z8" s="22" t="s">
        <v>25</v>
      </c>
      <c r="AA8" s="57" t="s">
        <v>23</v>
      </c>
      <c r="AB8" s="22" t="s">
        <v>22</v>
      </c>
      <c r="AC8" s="57" t="s">
        <v>23</v>
      </c>
      <c r="AD8" s="22" t="s">
        <v>24</v>
      </c>
      <c r="AE8" s="57" t="s">
        <v>23</v>
      </c>
      <c r="AF8" s="56"/>
      <c r="AG8" s="44"/>
      <c r="AH8" s="51"/>
      <c r="AI8" s="13"/>
    </row>
    <row r="9" spans="1:35" x14ac:dyDescent="0.2">
      <c r="A9" s="4"/>
      <c r="B9" s="17">
        <v>1</v>
      </c>
      <c r="C9" s="41" t="s">
        <v>26</v>
      </c>
      <c r="D9" s="53"/>
      <c r="E9" s="15" t="s">
        <v>27</v>
      </c>
      <c r="F9" s="30"/>
      <c r="G9" s="31"/>
      <c r="H9" s="30"/>
      <c r="I9" s="58"/>
      <c r="J9" s="30"/>
      <c r="K9" s="58"/>
      <c r="L9" s="30"/>
      <c r="M9" s="58"/>
      <c r="N9" s="30"/>
      <c r="O9" s="58"/>
      <c r="P9" s="30"/>
      <c r="Q9" s="58"/>
      <c r="R9" s="30"/>
      <c r="S9" s="58"/>
      <c r="T9" s="30"/>
      <c r="U9" s="58"/>
      <c r="V9" s="30"/>
      <c r="W9" s="58"/>
      <c r="X9" s="30"/>
      <c r="Y9" s="58"/>
      <c r="Z9" s="30"/>
      <c r="AA9" s="58"/>
      <c r="AB9" s="30"/>
      <c r="AC9" s="58"/>
      <c r="AD9" s="30"/>
      <c r="AE9" s="58"/>
      <c r="AF9" s="55">
        <v>400000</v>
      </c>
      <c r="AG9" s="12">
        <f>+F9++H9++J9++L9++N9++P9++R9++T9++V9++X9++Z9++AB9++AD9+0</f>
        <v>0</v>
      </c>
      <c r="AH9" s="11">
        <f>G9+I9+K9+M9+O9+Q9+S9+U9+W9+Y9+AA9+AC9+AE9+0</f>
        <v>0</v>
      </c>
      <c r="AI9" s="6"/>
    </row>
    <row r="10" spans="1:35" x14ac:dyDescent="0.2">
      <c r="A10" s="4"/>
      <c r="B10" s="17">
        <v>2</v>
      </c>
      <c r="C10" s="41" t="s">
        <v>28</v>
      </c>
      <c r="D10" s="53"/>
      <c r="E10" s="15" t="s">
        <v>29</v>
      </c>
      <c r="F10" s="30"/>
      <c r="G10" s="31"/>
      <c r="H10" s="30"/>
      <c r="I10" s="58"/>
      <c r="J10" s="30"/>
      <c r="K10" s="58"/>
      <c r="L10" s="30"/>
      <c r="M10" s="58"/>
      <c r="N10" s="30"/>
      <c r="O10" s="58"/>
      <c r="P10" s="30"/>
      <c r="Q10" s="58"/>
      <c r="R10" s="30"/>
      <c r="S10" s="58"/>
      <c r="T10" s="30"/>
      <c r="U10" s="58"/>
      <c r="V10" s="30"/>
      <c r="W10" s="58"/>
      <c r="X10" s="30"/>
      <c r="Y10" s="58"/>
      <c r="Z10" s="30"/>
      <c r="AA10" s="58"/>
      <c r="AB10" s="30"/>
      <c r="AC10" s="58"/>
      <c r="AD10" s="30"/>
      <c r="AE10" s="58"/>
      <c r="AF10" s="55">
        <v>20000</v>
      </c>
      <c r="AG10" s="12">
        <f>+F10++H10++J10++L10++N10++P10++R10++T10++V10++X10++Z10++AB10++AD10+0</f>
        <v>0</v>
      </c>
      <c r="AH10" s="11">
        <f>G10+I10+K10+M10+O10+Q10+S10+U10+W10+Y10+AA10+AC10+AE10+0</f>
        <v>0</v>
      </c>
      <c r="AI10" s="6"/>
    </row>
    <row r="11" spans="1:35" x14ac:dyDescent="0.2">
      <c r="A11" s="4"/>
      <c r="B11" s="17">
        <v>3</v>
      </c>
      <c r="C11" s="41" t="s">
        <v>30</v>
      </c>
      <c r="D11" s="53"/>
      <c r="E11" s="15" t="s">
        <v>31</v>
      </c>
      <c r="F11" s="30"/>
      <c r="G11" s="31"/>
      <c r="H11" s="30"/>
      <c r="I11" s="58"/>
      <c r="J11" s="30"/>
      <c r="K11" s="58"/>
      <c r="L11" s="30"/>
      <c r="M11" s="58"/>
      <c r="N11" s="30"/>
      <c r="O11" s="58"/>
      <c r="P11" s="30"/>
      <c r="Q11" s="58"/>
      <c r="R11" s="30"/>
      <c r="S11" s="58"/>
      <c r="T11" s="30"/>
      <c r="U11" s="58"/>
      <c r="V11" s="30"/>
      <c r="W11" s="58"/>
      <c r="X11" s="30"/>
      <c r="Y11" s="58"/>
      <c r="Z11" s="30"/>
      <c r="AA11" s="58"/>
      <c r="AB11" s="30"/>
      <c r="AC11" s="58"/>
      <c r="AD11" s="30"/>
      <c r="AE11" s="58"/>
      <c r="AF11" s="55">
        <v>10000</v>
      </c>
      <c r="AG11" s="12">
        <f>+F11++H11++J11++L11++N11++P11++R11++T11++V11++X11++Z11++AB11++AD11+0</f>
        <v>0</v>
      </c>
      <c r="AH11" s="11">
        <f>G11+I11+K11+M11+O11+Q11+S11+U11+W11+Y11+AA11+AC11+AE11+0</f>
        <v>0</v>
      </c>
      <c r="AI11" s="6"/>
    </row>
    <row r="12" spans="1:35" x14ac:dyDescent="0.2">
      <c r="A12" s="4"/>
      <c r="B12" s="17">
        <v>4</v>
      </c>
      <c r="C12" s="41" t="s">
        <v>32</v>
      </c>
      <c r="D12" s="53"/>
      <c r="E12" s="15" t="s">
        <v>33</v>
      </c>
      <c r="F12" s="30"/>
      <c r="G12" s="31"/>
      <c r="H12" s="30"/>
      <c r="I12" s="58"/>
      <c r="J12" s="30"/>
      <c r="K12" s="58"/>
      <c r="L12" s="30"/>
      <c r="M12" s="58"/>
      <c r="N12" s="30"/>
      <c r="O12" s="58"/>
      <c r="P12" s="30"/>
      <c r="Q12" s="58"/>
      <c r="R12" s="30"/>
      <c r="S12" s="58"/>
      <c r="T12" s="30"/>
      <c r="U12" s="58"/>
      <c r="V12" s="30"/>
      <c r="W12" s="58"/>
      <c r="X12" s="30"/>
      <c r="Y12" s="58"/>
      <c r="Z12" s="30"/>
      <c r="AA12" s="58"/>
      <c r="AB12" s="30"/>
      <c r="AC12" s="58"/>
      <c r="AD12" s="30"/>
      <c r="AE12" s="58"/>
      <c r="AF12" s="55">
        <v>18000</v>
      </c>
      <c r="AG12" s="12">
        <f>+F12++H12++J12++L12++N12++P12++R12++T12++V12++X12++Z12++AB12++AD12+0</f>
        <v>0</v>
      </c>
      <c r="AH12" s="11">
        <f>G12+I12+K12+M12+O12+Q12+S12+U12+W12+Y12+AA12+AC12+AE12+0</f>
        <v>0</v>
      </c>
      <c r="AI12" s="6"/>
    </row>
    <row r="13" spans="1:35" x14ac:dyDescent="0.2">
      <c r="A13" s="4"/>
      <c r="B13" s="17">
        <v>5</v>
      </c>
      <c r="C13" s="41" t="s">
        <v>34</v>
      </c>
      <c r="D13" s="53"/>
      <c r="E13" s="15" t="s">
        <v>35</v>
      </c>
      <c r="F13" s="30"/>
      <c r="G13" s="31"/>
      <c r="H13" s="30"/>
      <c r="I13" s="58"/>
      <c r="J13" s="30"/>
      <c r="K13" s="58"/>
      <c r="L13" s="30"/>
      <c r="M13" s="58"/>
      <c r="N13" s="30"/>
      <c r="O13" s="58"/>
      <c r="P13" s="30"/>
      <c r="Q13" s="58"/>
      <c r="R13" s="30"/>
      <c r="S13" s="58"/>
      <c r="T13" s="30"/>
      <c r="U13" s="58"/>
      <c r="V13" s="30"/>
      <c r="W13" s="58"/>
      <c r="X13" s="30"/>
      <c r="Y13" s="58"/>
      <c r="Z13" s="30"/>
      <c r="AA13" s="58"/>
      <c r="AB13" s="30"/>
      <c r="AC13" s="58"/>
      <c r="AD13" s="30"/>
      <c r="AE13" s="58"/>
      <c r="AF13" s="55">
        <v>90000</v>
      </c>
      <c r="AG13" s="12">
        <f>+F13++H13++J13++L13++N13++P13++R13++T13++V13++X13++Z13++AB13++AD13+0</f>
        <v>0</v>
      </c>
      <c r="AH13" s="11">
        <f>G13+I13+K13+M13+O13+Q13+S13+U13+W13+Y13+AA13+AC13+AE13+0</f>
        <v>0</v>
      </c>
      <c r="AI13" s="6"/>
    </row>
    <row r="14" spans="1:35" x14ac:dyDescent="0.2">
      <c r="A14" s="4"/>
      <c r="B14" s="17">
        <v>6</v>
      </c>
      <c r="C14" s="41" t="s">
        <v>36</v>
      </c>
      <c r="D14" s="53"/>
      <c r="E14" s="15" t="s">
        <v>37</v>
      </c>
      <c r="F14" s="30"/>
      <c r="G14" s="31"/>
      <c r="H14" s="30"/>
      <c r="I14" s="58"/>
      <c r="J14" s="30"/>
      <c r="K14" s="58"/>
      <c r="L14" s="30"/>
      <c r="M14" s="58"/>
      <c r="N14" s="30"/>
      <c r="O14" s="58"/>
      <c r="P14" s="30"/>
      <c r="Q14" s="58"/>
      <c r="R14" s="30"/>
      <c r="S14" s="58"/>
      <c r="T14" s="30"/>
      <c r="U14" s="58"/>
      <c r="V14" s="30"/>
      <c r="W14" s="58"/>
      <c r="X14" s="30"/>
      <c r="Y14" s="58"/>
      <c r="Z14" s="30"/>
      <c r="AA14" s="58"/>
      <c r="AB14" s="30"/>
      <c r="AC14" s="58"/>
      <c r="AD14" s="30"/>
      <c r="AE14" s="58"/>
      <c r="AF14" s="55">
        <v>20000</v>
      </c>
      <c r="AG14" s="12">
        <f>+F14++H14++J14++L14++N14++P14++R14++T14++V14++X14++Z14++AB14++AD14+0</f>
        <v>0</v>
      </c>
      <c r="AH14" s="11">
        <f>G14+I14+K14+M14+O14+Q14+S14+U14+W14+Y14+AA14+AC14+AE14+0</f>
        <v>0</v>
      </c>
      <c r="AI14" s="6"/>
    </row>
    <row r="15" spans="1:35" x14ac:dyDescent="0.2">
      <c r="A15" s="4"/>
      <c r="B15" s="17">
        <v>7</v>
      </c>
      <c r="C15" s="41" t="s">
        <v>38</v>
      </c>
      <c r="D15" s="53"/>
      <c r="E15" s="15" t="s">
        <v>39</v>
      </c>
      <c r="F15" s="30"/>
      <c r="G15" s="31"/>
      <c r="H15" s="30"/>
      <c r="I15" s="58"/>
      <c r="J15" s="30"/>
      <c r="K15" s="58"/>
      <c r="L15" s="30"/>
      <c r="M15" s="58"/>
      <c r="N15" s="30"/>
      <c r="O15" s="58"/>
      <c r="P15" s="30"/>
      <c r="Q15" s="58"/>
      <c r="R15" s="30"/>
      <c r="S15" s="58"/>
      <c r="T15" s="30"/>
      <c r="U15" s="58"/>
      <c r="V15" s="30"/>
      <c r="W15" s="58"/>
      <c r="X15" s="30"/>
      <c r="Y15" s="58"/>
      <c r="Z15" s="30"/>
      <c r="AA15" s="58"/>
      <c r="AB15" s="30"/>
      <c r="AC15" s="58"/>
      <c r="AD15" s="30"/>
      <c r="AE15" s="58"/>
      <c r="AF15" s="55">
        <v>50000</v>
      </c>
      <c r="AG15" s="12">
        <f>+F15++H15++J15++L15++N15++P15++R15++T15++V15++X15++Z15++AB15++AD15+0</f>
        <v>0</v>
      </c>
      <c r="AH15" s="11">
        <f>G15+I15+K15+M15+O15+Q15+S15+U15+W15+Y15+AA15+AC15+AE15+0</f>
        <v>0</v>
      </c>
      <c r="AI15" s="6"/>
    </row>
    <row r="16" spans="1:35" x14ac:dyDescent="0.2">
      <c r="A16" s="4"/>
      <c r="B16" s="17">
        <v>8</v>
      </c>
      <c r="C16" s="41" t="s">
        <v>40</v>
      </c>
      <c r="D16" s="53"/>
      <c r="E16" s="15" t="s">
        <v>41</v>
      </c>
      <c r="F16" s="30"/>
      <c r="G16" s="31"/>
      <c r="H16" s="30"/>
      <c r="I16" s="58"/>
      <c r="J16" s="30"/>
      <c r="K16" s="58"/>
      <c r="L16" s="30"/>
      <c r="M16" s="58"/>
      <c r="N16" s="30"/>
      <c r="O16" s="58"/>
      <c r="P16" s="30"/>
      <c r="Q16" s="58"/>
      <c r="R16" s="30"/>
      <c r="S16" s="58"/>
      <c r="T16" s="30"/>
      <c r="U16" s="58"/>
      <c r="V16" s="30"/>
      <c r="W16" s="58"/>
      <c r="X16" s="30"/>
      <c r="Y16" s="58"/>
      <c r="Z16" s="30"/>
      <c r="AA16" s="58"/>
      <c r="AB16" s="30"/>
      <c r="AC16" s="58"/>
      <c r="AD16" s="30"/>
      <c r="AE16" s="58"/>
      <c r="AF16" s="55">
        <v>30000</v>
      </c>
      <c r="AG16" s="12">
        <f>+F16++H16++J16++L16++N16++P16++R16++T16++V16++X16++Z16++AB16++AD16+0</f>
        <v>0</v>
      </c>
      <c r="AH16" s="11">
        <f>G16+I16+K16+M16+O16+Q16+S16+U16+W16+Y16+AA16+AC16+AE16+0</f>
        <v>0</v>
      </c>
      <c r="AI16" s="6"/>
    </row>
    <row r="17" spans="1:35" x14ac:dyDescent="0.2">
      <c r="A17" s="4"/>
      <c r="B17" s="17">
        <v>9</v>
      </c>
      <c r="C17" s="41" t="s">
        <v>42</v>
      </c>
      <c r="D17" s="53"/>
      <c r="E17" s="15" t="s">
        <v>43</v>
      </c>
      <c r="F17" s="30"/>
      <c r="G17" s="31"/>
      <c r="H17" s="30"/>
      <c r="I17" s="58"/>
      <c r="J17" s="30"/>
      <c r="K17" s="58"/>
      <c r="L17" s="30"/>
      <c r="M17" s="58"/>
      <c r="N17" s="30"/>
      <c r="O17" s="58"/>
      <c r="P17" s="30"/>
      <c r="Q17" s="58"/>
      <c r="R17" s="30"/>
      <c r="S17" s="58"/>
      <c r="T17" s="30"/>
      <c r="U17" s="58"/>
      <c r="V17" s="30"/>
      <c r="W17" s="58"/>
      <c r="X17" s="30"/>
      <c r="Y17" s="58"/>
      <c r="Z17" s="30"/>
      <c r="AA17" s="58"/>
      <c r="AB17" s="30"/>
      <c r="AC17" s="58"/>
      <c r="AD17" s="30"/>
      <c r="AE17" s="58"/>
      <c r="AF17" s="55">
        <v>1197.8</v>
      </c>
      <c r="AG17" s="12">
        <f>+F17++H17++J17++L17++N17++P17++R17++T17++V17++X17++Z17++AB17++AD17+0</f>
        <v>0</v>
      </c>
      <c r="AH17" s="11">
        <f>G17+I17+K17+M17+O17+Q17+S17+U17+W17+Y17+AA17+AC17+AE17+0</f>
        <v>0</v>
      </c>
      <c r="AI17" s="6"/>
    </row>
    <row r="18" spans="1:35" x14ac:dyDescent="0.2">
      <c r="A18" s="4"/>
      <c r="B18" s="17">
        <v>10</v>
      </c>
      <c r="C18" s="41" t="s">
        <v>44</v>
      </c>
      <c r="D18" s="53"/>
      <c r="E18" s="15" t="s">
        <v>45</v>
      </c>
      <c r="F18" s="30"/>
      <c r="G18" s="31"/>
      <c r="H18" s="30"/>
      <c r="I18" s="58"/>
      <c r="J18" s="30"/>
      <c r="K18" s="58"/>
      <c r="L18" s="30"/>
      <c r="M18" s="58"/>
      <c r="N18" s="30"/>
      <c r="O18" s="58"/>
      <c r="P18" s="30"/>
      <c r="Q18" s="58"/>
      <c r="R18" s="30"/>
      <c r="S18" s="58"/>
      <c r="T18" s="30"/>
      <c r="U18" s="58"/>
      <c r="V18" s="30"/>
      <c r="W18" s="58"/>
      <c r="X18" s="30"/>
      <c r="Y18" s="58"/>
      <c r="Z18" s="30"/>
      <c r="AA18" s="58"/>
      <c r="AB18" s="30"/>
      <c r="AC18" s="58"/>
      <c r="AD18" s="30"/>
      <c r="AE18" s="58"/>
      <c r="AF18" s="55">
        <v>200000</v>
      </c>
      <c r="AG18" s="12">
        <f>+F18++H18++J18++L18++N18++P18++R18++T18++V18++X18++Z18++AB18++AD18+0</f>
        <v>0</v>
      </c>
      <c r="AH18" s="11">
        <f>G18+I18+K18+M18+O18+Q18+S18+U18+W18+Y18+AA18+AC18+AE18+0</f>
        <v>0</v>
      </c>
      <c r="AI18" s="6"/>
    </row>
    <row r="19" spans="1:35" x14ac:dyDescent="0.2">
      <c r="A19" s="4"/>
      <c r="B19" s="17">
        <v>11</v>
      </c>
      <c r="C19" s="41" t="s">
        <v>46</v>
      </c>
      <c r="D19" s="53"/>
      <c r="E19" s="15" t="s">
        <v>47</v>
      </c>
      <c r="F19" s="30"/>
      <c r="G19" s="31"/>
      <c r="H19" s="30"/>
      <c r="I19" s="58"/>
      <c r="J19" s="30"/>
      <c r="K19" s="58"/>
      <c r="L19" s="30"/>
      <c r="M19" s="58"/>
      <c r="N19" s="30"/>
      <c r="O19" s="58"/>
      <c r="P19" s="30"/>
      <c r="Q19" s="58"/>
      <c r="R19" s="30"/>
      <c r="S19" s="58"/>
      <c r="T19" s="30"/>
      <c r="U19" s="58"/>
      <c r="V19" s="30"/>
      <c r="W19" s="58"/>
      <c r="X19" s="30"/>
      <c r="Y19" s="58"/>
      <c r="Z19" s="30"/>
      <c r="AA19" s="58"/>
      <c r="AB19" s="30"/>
      <c r="AC19" s="58"/>
      <c r="AD19" s="30"/>
      <c r="AE19" s="58"/>
      <c r="AF19" s="55">
        <v>200000</v>
      </c>
      <c r="AG19" s="12">
        <f>+F19++H19++J19++L19++N19++P19++R19++T19++V19++X19++Z19++AB19++AD19+0</f>
        <v>0</v>
      </c>
      <c r="AH19" s="11">
        <f>G19+I19+K19+M19+O19+Q19+S19+U19+W19+Y19+AA19+AC19+AE19+0</f>
        <v>0</v>
      </c>
      <c r="AI19" s="6"/>
    </row>
    <row r="20" spans="1:35" x14ac:dyDescent="0.2">
      <c r="A20" s="4"/>
      <c r="B20" s="17">
        <v>12</v>
      </c>
      <c r="C20" s="41" t="s">
        <v>48</v>
      </c>
      <c r="D20" s="53"/>
      <c r="E20" s="15" t="s">
        <v>49</v>
      </c>
      <c r="F20" s="30"/>
      <c r="G20" s="31"/>
      <c r="H20" s="30"/>
      <c r="I20" s="58"/>
      <c r="J20" s="30"/>
      <c r="K20" s="58"/>
      <c r="L20" s="30"/>
      <c r="M20" s="58"/>
      <c r="N20" s="30"/>
      <c r="O20" s="58"/>
      <c r="P20" s="30"/>
      <c r="Q20" s="58"/>
      <c r="R20" s="30"/>
      <c r="S20" s="58"/>
      <c r="T20" s="30"/>
      <c r="U20" s="58"/>
      <c r="V20" s="30"/>
      <c r="W20" s="58"/>
      <c r="X20" s="30"/>
      <c r="Y20" s="58"/>
      <c r="Z20" s="30"/>
      <c r="AA20" s="58"/>
      <c r="AB20" s="30"/>
      <c r="AC20" s="58"/>
      <c r="AD20" s="30"/>
      <c r="AE20" s="58"/>
      <c r="AF20" s="55">
        <v>15000</v>
      </c>
      <c r="AG20" s="12">
        <f>+F20++H20++J20++L20++N20++P20++R20++T20++V20++X20++Z20++AB20++AD20+0</f>
        <v>0</v>
      </c>
      <c r="AH20" s="11">
        <f>G20+I20+K20+M20+O20+Q20+S20+U20+W20+Y20+AA20+AC20+AE20+0</f>
        <v>0</v>
      </c>
      <c r="AI20" s="6"/>
    </row>
    <row r="21" spans="1:35" x14ac:dyDescent="0.2">
      <c r="A21" s="4"/>
      <c r="B21" s="17">
        <v>13</v>
      </c>
      <c r="C21" s="41" t="s">
        <v>50</v>
      </c>
      <c r="D21" s="53"/>
      <c r="E21" s="15" t="s">
        <v>51</v>
      </c>
      <c r="F21" s="30"/>
      <c r="G21" s="31"/>
      <c r="H21" s="30"/>
      <c r="I21" s="58"/>
      <c r="J21" s="30"/>
      <c r="K21" s="58"/>
      <c r="L21" s="30"/>
      <c r="M21" s="58"/>
      <c r="N21" s="30"/>
      <c r="O21" s="58"/>
      <c r="P21" s="30"/>
      <c r="Q21" s="58"/>
      <c r="R21" s="30"/>
      <c r="S21" s="58"/>
      <c r="T21" s="30"/>
      <c r="U21" s="58"/>
      <c r="V21" s="30"/>
      <c r="W21" s="58"/>
      <c r="X21" s="30"/>
      <c r="Y21" s="58"/>
      <c r="Z21" s="30"/>
      <c r="AA21" s="58"/>
      <c r="AB21" s="30"/>
      <c r="AC21" s="58"/>
      <c r="AD21" s="30"/>
      <c r="AE21" s="58"/>
      <c r="AF21" s="55">
        <v>60000</v>
      </c>
      <c r="AG21" s="12">
        <f>+F21++H21++J21++L21++N21++P21++R21++T21++V21++X21++Z21++AB21++AD21+0</f>
        <v>0</v>
      </c>
      <c r="AH21" s="11">
        <f>G21+I21+K21+M21+O21+Q21+S21+U21+W21+Y21+AA21+AC21+AE21+0</f>
        <v>0</v>
      </c>
      <c r="AI21" s="6"/>
    </row>
    <row r="22" spans="1:35" x14ac:dyDescent="0.2">
      <c r="A22" s="4"/>
      <c r="B22" s="17">
        <v>14</v>
      </c>
      <c r="C22" s="41" t="s">
        <v>52</v>
      </c>
      <c r="D22" s="53"/>
      <c r="E22" s="15" t="s">
        <v>53</v>
      </c>
      <c r="F22" s="30"/>
      <c r="G22" s="31"/>
      <c r="H22" s="30"/>
      <c r="I22" s="58"/>
      <c r="J22" s="30"/>
      <c r="K22" s="58"/>
      <c r="L22" s="30"/>
      <c r="M22" s="58"/>
      <c r="N22" s="30"/>
      <c r="O22" s="58"/>
      <c r="P22" s="30"/>
      <c r="Q22" s="58"/>
      <c r="R22" s="30"/>
      <c r="S22" s="58"/>
      <c r="T22" s="30"/>
      <c r="U22" s="58"/>
      <c r="V22" s="30"/>
      <c r="W22" s="58"/>
      <c r="X22" s="30"/>
      <c r="Y22" s="58"/>
      <c r="Z22" s="30"/>
      <c r="AA22" s="58"/>
      <c r="AB22" s="30"/>
      <c r="AC22" s="58"/>
      <c r="AD22" s="30"/>
      <c r="AE22" s="58"/>
      <c r="AF22" s="55">
        <v>50000</v>
      </c>
      <c r="AG22" s="12">
        <f>+F22++H22++J22++L22++N22++P22++R22++T22++V22++X22++Z22++AB22++AD22+0</f>
        <v>0</v>
      </c>
      <c r="AH22" s="11">
        <f>G22+I22+K22+M22+O22+Q22+S22+U22+W22+Y22+AA22+AC22+AE22+0</f>
        <v>0</v>
      </c>
      <c r="AI22" s="6"/>
    </row>
    <row r="23" spans="1:35" x14ac:dyDescent="0.2">
      <c r="A23" s="4"/>
      <c r="B23" s="17">
        <v>15</v>
      </c>
      <c r="C23" s="41" t="s">
        <v>54</v>
      </c>
      <c r="D23" s="53"/>
      <c r="E23" s="15" t="s">
        <v>55</v>
      </c>
      <c r="F23" s="30"/>
      <c r="G23" s="31"/>
      <c r="H23" s="30"/>
      <c r="I23" s="58"/>
      <c r="J23" s="30"/>
      <c r="K23" s="58"/>
      <c r="L23" s="30"/>
      <c r="M23" s="58"/>
      <c r="N23" s="30"/>
      <c r="O23" s="58"/>
      <c r="P23" s="30"/>
      <c r="Q23" s="58"/>
      <c r="R23" s="30"/>
      <c r="S23" s="58"/>
      <c r="T23" s="30"/>
      <c r="U23" s="58"/>
      <c r="V23" s="30"/>
      <c r="W23" s="58"/>
      <c r="X23" s="30"/>
      <c r="Y23" s="58"/>
      <c r="Z23" s="30"/>
      <c r="AA23" s="58"/>
      <c r="AB23" s="30"/>
      <c r="AC23" s="58"/>
      <c r="AD23" s="30"/>
      <c r="AE23" s="58"/>
      <c r="AF23" s="55">
        <v>20000</v>
      </c>
      <c r="AG23" s="12">
        <f>+F23++H23++J23++L23++N23++P23++R23++T23++V23++X23++Z23++AB23++AD23+0</f>
        <v>0</v>
      </c>
      <c r="AH23" s="11">
        <f>G23+I23+K23+M23+O23+Q23+S23+U23+W23+Y23+AA23+AC23+AE23+0</f>
        <v>0</v>
      </c>
      <c r="AI23" s="6"/>
    </row>
    <row r="24" spans="1:35" x14ac:dyDescent="0.2">
      <c r="A24" s="4"/>
      <c r="B24" s="17">
        <v>16</v>
      </c>
      <c r="C24" s="41" t="s">
        <v>56</v>
      </c>
      <c r="D24" s="53"/>
      <c r="E24" s="15" t="s">
        <v>57</v>
      </c>
      <c r="F24" s="30"/>
      <c r="G24" s="31"/>
      <c r="H24" s="30"/>
      <c r="I24" s="58"/>
      <c r="J24" s="30"/>
      <c r="K24" s="58"/>
      <c r="L24" s="30"/>
      <c r="M24" s="58"/>
      <c r="N24" s="30"/>
      <c r="O24" s="58"/>
      <c r="P24" s="30"/>
      <c r="Q24" s="58"/>
      <c r="R24" s="30"/>
      <c r="S24" s="58"/>
      <c r="T24" s="30"/>
      <c r="U24" s="58"/>
      <c r="V24" s="30"/>
      <c r="W24" s="58"/>
      <c r="X24" s="30"/>
      <c r="Y24" s="58"/>
      <c r="Z24" s="30"/>
      <c r="AA24" s="58"/>
      <c r="AB24" s="30"/>
      <c r="AC24" s="58"/>
      <c r="AD24" s="30"/>
      <c r="AE24" s="58"/>
      <c r="AF24" s="55">
        <v>60000</v>
      </c>
      <c r="AG24" s="12">
        <f>+F24++H24++J24++L24++N24++P24++R24++T24++V24++X24++Z24++AB24++AD24+0</f>
        <v>0</v>
      </c>
      <c r="AH24" s="11">
        <f>G24+I24+K24+M24+O24+Q24+S24+U24+W24+Y24+AA24+AC24+AE24+0</f>
        <v>0</v>
      </c>
      <c r="AI24" s="6"/>
    </row>
    <row r="25" spans="1:35" x14ac:dyDescent="0.2">
      <c r="A25" s="4"/>
      <c r="B25" s="17">
        <v>17</v>
      </c>
      <c r="C25" s="41" t="s">
        <v>58</v>
      </c>
      <c r="D25" s="53"/>
      <c r="E25" s="15" t="s">
        <v>59</v>
      </c>
      <c r="F25" s="30"/>
      <c r="G25" s="31"/>
      <c r="H25" s="30"/>
      <c r="I25" s="58"/>
      <c r="J25" s="30"/>
      <c r="K25" s="58"/>
      <c r="L25" s="30"/>
      <c r="M25" s="58"/>
      <c r="N25" s="30"/>
      <c r="O25" s="58"/>
      <c r="P25" s="30"/>
      <c r="Q25" s="58"/>
      <c r="R25" s="30"/>
      <c r="S25" s="58"/>
      <c r="T25" s="30"/>
      <c r="U25" s="58"/>
      <c r="V25" s="30"/>
      <c r="W25" s="58"/>
      <c r="X25" s="30"/>
      <c r="Y25" s="58"/>
      <c r="Z25" s="30"/>
      <c r="AA25" s="58"/>
      <c r="AB25" s="30"/>
      <c r="AC25" s="58"/>
      <c r="AD25" s="30"/>
      <c r="AE25" s="58"/>
      <c r="AF25" s="55">
        <v>20000</v>
      </c>
      <c r="AG25" s="12">
        <f>+F25++H25++J25++L25++N25++P25++R25++T25++V25++X25++Z25++AB25++AD25+0</f>
        <v>0</v>
      </c>
      <c r="AH25" s="11">
        <f>G25+I25+K25+M25+O25+Q25+S25+U25+W25+Y25+AA25+AC25+AE25+0</f>
        <v>0</v>
      </c>
      <c r="AI25" s="6"/>
    </row>
    <row r="26" spans="1:35" x14ac:dyDescent="0.2">
      <c r="A26" s="4"/>
      <c r="B26" s="17">
        <v>18</v>
      </c>
      <c r="C26" s="41" t="s">
        <v>60</v>
      </c>
      <c r="D26" s="53"/>
      <c r="E26" s="15" t="s">
        <v>61</v>
      </c>
      <c r="F26" s="30"/>
      <c r="G26" s="31"/>
      <c r="H26" s="30"/>
      <c r="I26" s="58"/>
      <c r="J26" s="30"/>
      <c r="K26" s="58"/>
      <c r="L26" s="30"/>
      <c r="M26" s="58"/>
      <c r="N26" s="30"/>
      <c r="O26" s="58"/>
      <c r="P26" s="30"/>
      <c r="Q26" s="58"/>
      <c r="R26" s="30"/>
      <c r="S26" s="58"/>
      <c r="T26" s="30"/>
      <c r="U26" s="58"/>
      <c r="V26" s="30"/>
      <c r="W26" s="58"/>
      <c r="X26" s="30"/>
      <c r="Y26" s="58"/>
      <c r="Z26" s="30"/>
      <c r="AA26" s="58"/>
      <c r="AB26" s="30"/>
      <c r="AC26" s="58"/>
      <c r="AD26" s="30"/>
      <c r="AE26" s="58"/>
      <c r="AF26" s="55">
        <v>10000</v>
      </c>
      <c r="AG26" s="12">
        <f>+F26++H26++J26++L26++N26++P26++R26++T26++V26++X26++Z26++AB26++AD26+0</f>
        <v>0</v>
      </c>
      <c r="AH26" s="11">
        <f>G26+I26+K26+M26+O26+Q26+S26+U26+W26+Y26+AA26+AC26+AE26+0</f>
        <v>0</v>
      </c>
      <c r="AI26" s="6"/>
    </row>
    <row r="27" spans="1:35" x14ac:dyDescent="0.2">
      <c r="A27" s="4"/>
      <c r="B27" s="17">
        <v>19</v>
      </c>
      <c r="C27" s="41" t="s">
        <v>62</v>
      </c>
      <c r="D27" s="53"/>
      <c r="E27" s="15" t="s">
        <v>63</v>
      </c>
      <c r="F27" s="30"/>
      <c r="G27" s="31"/>
      <c r="H27" s="30"/>
      <c r="I27" s="58"/>
      <c r="J27" s="30"/>
      <c r="K27" s="58"/>
      <c r="L27" s="30"/>
      <c r="M27" s="58"/>
      <c r="N27" s="30"/>
      <c r="O27" s="58"/>
      <c r="P27" s="30"/>
      <c r="Q27" s="58"/>
      <c r="R27" s="30"/>
      <c r="S27" s="58"/>
      <c r="T27" s="30"/>
      <c r="U27" s="58"/>
      <c r="V27" s="30"/>
      <c r="W27" s="58"/>
      <c r="X27" s="30"/>
      <c r="Y27" s="58"/>
      <c r="Z27" s="30"/>
      <c r="AA27" s="58"/>
      <c r="AB27" s="30"/>
      <c r="AC27" s="58"/>
      <c r="AD27" s="30"/>
      <c r="AE27" s="58"/>
      <c r="AF27" s="55">
        <v>50000</v>
      </c>
      <c r="AG27" s="12">
        <f>+F27++H27++J27++L27++N27++P27++R27++T27++V27++X27++Z27++AB27++AD27+0</f>
        <v>0</v>
      </c>
      <c r="AH27" s="11">
        <f>G27+I27+K27+M27+O27+Q27+S27+U27+W27+Y27+AA27+AC27+AE27+0</f>
        <v>0</v>
      </c>
      <c r="AI27" s="6"/>
    </row>
    <row r="28" spans="1:35" x14ac:dyDescent="0.2">
      <c r="A28" s="4"/>
      <c r="B28" s="17">
        <v>20</v>
      </c>
      <c r="C28" s="41" t="s">
        <v>64</v>
      </c>
      <c r="D28" s="53"/>
      <c r="E28" s="15" t="s">
        <v>65</v>
      </c>
      <c r="F28" s="30"/>
      <c r="G28" s="31"/>
      <c r="H28" s="30"/>
      <c r="I28" s="58"/>
      <c r="J28" s="30"/>
      <c r="K28" s="58"/>
      <c r="L28" s="30"/>
      <c r="M28" s="58"/>
      <c r="N28" s="30"/>
      <c r="O28" s="58"/>
      <c r="P28" s="30"/>
      <c r="Q28" s="58"/>
      <c r="R28" s="30"/>
      <c r="S28" s="58"/>
      <c r="T28" s="30"/>
      <c r="U28" s="58"/>
      <c r="V28" s="30"/>
      <c r="W28" s="58"/>
      <c r="X28" s="30"/>
      <c r="Y28" s="58"/>
      <c r="Z28" s="30"/>
      <c r="AA28" s="58"/>
      <c r="AB28" s="30"/>
      <c r="AC28" s="58"/>
      <c r="AD28" s="30"/>
      <c r="AE28" s="58"/>
      <c r="AF28" s="55">
        <v>20000</v>
      </c>
      <c r="AG28" s="12">
        <f>+F28++H28++J28++L28++N28++P28++R28++T28++V28++X28++Z28++AB28++AD28+0</f>
        <v>0</v>
      </c>
      <c r="AH28" s="11">
        <f>G28+I28+K28+M28+O28+Q28+S28+U28+W28+Y28+AA28+AC28+AE28+0</f>
        <v>0</v>
      </c>
      <c r="AI28" s="6"/>
    </row>
    <row r="29" spans="1:35" x14ac:dyDescent="0.2">
      <c r="A29" s="4"/>
      <c r="B29" s="17">
        <v>21</v>
      </c>
      <c r="C29" s="41" t="s">
        <v>66</v>
      </c>
      <c r="D29" s="53"/>
      <c r="E29" s="15" t="s">
        <v>67</v>
      </c>
      <c r="F29" s="30"/>
      <c r="G29" s="31"/>
      <c r="H29" s="30"/>
      <c r="I29" s="58"/>
      <c r="J29" s="30"/>
      <c r="K29" s="58"/>
      <c r="L29" s="30"/>
      <c r="M29" s="58"/>
      <c r="N29" s="30"/>
      <c r="O29" s="58"/>
      <c r="P29" s="30"/>
      <c r="Q29" s="58"/>
      <c r="R29" s="30"/>
      <c r="S29" s="58"/>
      <c r="T29" s="30"/>
      <c r="U29" s="58"/>
      <c r="V29" s="30"/>
      <c r="W29" s="58"/>
      <c r="X29" s="30"/>
      <c r="Y29" s="58"/>
      <c r="Z29" s="30"/>
      <c r="AA29" s="58"/>
      <c r="AB29" s="30"/>
      <c r="AC29" s="58"/>
      <c r="AD29" s="30"/>
      <c r="AE29" s="58"/>
      <c r="AF29" s="55">
        <v>900000</v>
      </c>
      <c r="AG29" s="12">
        <f>+F29++H29++J29++L29++N29++P29++R29++T29++V29++X29++Z29++AB29++AD29+0</f>
        <v>0</v>
      </c>
      <c r="AH29" s="11">
        <f>G29+I29+K29+M29+O29+Q29+S29+U29+W29+Y29+AA29+AC29+AE29+0</f>
        <v>0</v>
      </c>
      <c r="AI29" s="6"/>
    </row>
    <row r="30" spans="1:35" x14ac:dyDescent="0.2">
      <c r="A30" s="4"/>
      <c r="B30" s="17">
        <v>22</v>
      </c>
      <c r="C30" s="41" t="s">
        <v>68</v>
      </c>
      <c r="D30" s="53"/>
      <c r="E30" s="15" t="s">
        <v>69</v>
      </c>
      <c r="F30" s="30"/>
      <c r="G30" s="31"/>
      <c r="H30" s="30"/>
      <c r="I30" s="58"/>
      <c r="J30" s="30"/>
      <c r="K30" s="58"/>
      <c r="L30" s="30"/>
      <c r="M30" s="58"/>
      <c r="N30" s="30"/>
      <c r="O30" s="58"/>
      <c r="P30" s="30"/>
      <c r="Q30" s="58"/>
      <c r="R30" s="30"/>
      <c r="S30" s="58"/>
      <c r="T30" s="30"/>
      <c r="U30" s="58"/>
      <c r="V30" s="30"/>
      <c r="W30" s="58"/>
      <c r="X30" s="30"/>
      <c r="Y30" s="58"/>
      <c r="Z30" s="30"/>
      <c r="AA30" s="58"/>
      <c r="AB30" s="30"/>
      <c r="AC30" s="58"/>
      <c r="AD30" s="30"/>
      <c r="AE30" s="58"/>
      <c r="AF30" s="55">
        <v>120000</v>
      </c>
      <c r="AG30" s="12">
        <f>+F30++H30++J30++L30++N30++P30++R30++T30++V30++X30++Z30++AB30++AD30+0</f>
        <v>0</v>
      </c>
      <c r="AH30" s="11">
        <f>G30+I30+K30+M30+O30+Q30+S30+U30+W30+Y30+AA30+AC30+AE30+0</f>
        <v>0</v>
      </c>
      <c r="AI30" s="6"/>
    </row>
    <row r="31" spans="1:35" x14ac:dyDescent="0.2">
      <c r="A31" s="4"/>
      <c r="B31" s="17">
        <v>23</v>
      </c>
      <c r="C31" s="41" t="s">
        <v>70</v>
      </c>
      <c r="D31" s="53"/>
      <c r="E31" s="15" t="s">
        <v>71</v>
      </c>
      <c r="F31" s="30"/>
      <c r="G31" s="31"/>
      <c r="H31" s="30"/>
      <c r="I31" s="58"/>
      <c r="J31" s="30"/>
      <c r="K31" s="58"/>
      <c r="L31" s="30"/>
      <c r="M31" s="58"/>
      <c r="N31" s="30"/>
      <c r="O31" s="58"/>
      <c r="P31" s="30"/>
      <c r="Q31" s="58"/>
      <c r="R31" s="30"/>
      <c r="S31" s="58"/>
      <c r="T31" s="30"/>
      <c r="U31" s="58"/>
      <c r="V31" s="30"/>
      <c r="W31" s="58"/>
      <c r="X31" s="30"/>
      <c r="Y31" s="58"/>
      <c r="Z31" s="30"/>
      <c r="AA31" s="58"/>
      <c r="AB31" s="30"/>
      <c r="AC31" s="58"/>
      <c r="AD31" s="30"/>
      <c r="AE31" s="58"/>
      <c r="AF31" s="55">
        <v>30000</v>
      </c>
      <c r="AG31" s="12">
        <f>+F31++H31++J31++L31++N31++P31++R31++T31++V31++X31++Z31++AB31++AD31+0</f>
        <v>0</v>
      </c>
      <c r="AH31" s="11">
        <f>G31+I31+K31+M31+O31+Q31+S31+U31+W31+Y31+AA31+AC31+AE31+0</f>
        <v>0</v>
      </c>
      <c r="AI31" s="6"/>
    </row>
    <row r="32" spans="1:35" x14ac:dyDescent="0.2">
      <c r="A32" s="4"/>
      <c r="B32" s="17">
        <v>24</v>
      </c>
      <c r="C32" s="41" t="s">
        <v>72</v>
      </c>
      <c r="D32" s="53"/>
      <c r="E32" s="15" t="s">
        <v>73</v>
      </c>
      <c r="F32" s="30"/>
      <c r="G32" s="31"/>
      <c r="H32" s="30"/>
      <c r="I32" s="58"/>
      <c r="J32" s="30"/>
      <c r="K32" s="58"/>
      <c r="L32" s="30"/>
      <c r="M32" s="58"/>
      <c r="N32" s="30"/>
      <c r="O32" s="58"/>
      <c r="P32" s="30"/>
      <c r="Q32" s="58"/>
      <c r="R32" s="30"/>
      <c r="S32" s="58"/>
      <c r="T32" s="30"/>
      <c r="U32" s="58"/>
      <c r="V32" s="30"/>
      <c r="W32" s="58"/>
      <c r="X32" s="30"/>
      <c r="Y32" s="58"/>
      <c r="Z32" s="30"/>
      <c r="AA32" s="58"/>
      <c r="AB32" s="30"/>
      <c r="AC32" s="58"/>
      <c r="AD32" s="30"/>
      <c r="AE32" s="58"/>
      <c r="AF32" s="55">
        <v>60000</v>
      </c>
      <c r="AG32" s="12">
        <f>+F32++H32++J32++L32++N32++P32++R32++T32++V32++X32++Z32++AB32++AD32+0</f>
        <v>0</v>
      </c>
      <c r="AH32" s="11">
        <f>G32+I32+K32+M32+O32+Q32+S32+U32+W32+Y32+AA32+AC32+AE32+0</f>
        <v>0</v>
      </c>
      <c r="AI32" s="6"/>
    </row>
    <row r="33" spans="1:35" x14ac:dyDescent="0.2">
      <c r="A33" s="4"/>
      <c r="B33" s="17">
        <v>25</v>
      </c>
      <c r="C33" s="41" t="s">
        <v>74</v>
      </c>
      <c r="D33" s="53"/>
      <c r="E33" s="15" t="s">
        <v>75</v>
      </c>
      <c r="F33" s="30"/>
      <c r="G33" s="31"/>
      <c r="H33" s="30"/>
      <c r="I33" s="58"/>
      <c r="J33" s="30"/>
      <c r="K33" s="58"/>
      <c r="L33" s="30"/>
      <c r="M33" s="58"/>
      <c r="N33" s="30"/>
      <c r="O33" s="58"/>
      <c r="P33" s="30"/>
      <c r="Q33" s="58"/>
      <c r="R33" s="30"/>
      <c r="S33" s="58"/>
      <c r="T33" s="30"/>
      <c r="U33" s="58"/>
      <c r="V33" s="30"/>
      <c r="W33" s="58"/>
      <c r="X33" s="30"/>
      <c r="Y33" s="58"/>
      <c r="Z33" s="30"/>
      <c r="AA33" s="58"/>
      <c r="AB33" s="30"/>
      <c r="AC33" s="58"/>
      <c r="AD33" s="30"/>
      <c r="AE33" s="58"/>
      <c r="AF33" s="55">
        <v>100000</v>
      </c>
      <c r="AG33" s="12">
        <f>+F33++H33++J33++L33++N33++P33++R33++T33++V33++X33++Z33++AB33++AD33+0</f>
        <v>0</v>
      </c>
      <c r="AH33" s="11">
        <f>G33+I33+K33+M33+O33+Q33+S33+U33+W33+Y33+AA33+AC33+AE33+0</f>
        <v>0</v>
      </c>
      <c r="AI33" s="6"/>
    </row>
    <row r="34" spans="1:35" x14ac:dyDescent="0.2">
      <c r="A34" s="4"/>
      <c r="B34" s="17">
        <v>26</v>
      </c>
      <c r="C34" s="41" t="s">
        <v>76</v>
      </c>
      <c r="D34" s="53"/>
      <c r="E34" s="15" t="s">
        <v>77</v>
      </c>
      <c r="F34" s="30"/>
      <c r="G34" s="31"/>
      <c r="H34" s="30"/>
      <c r="I34" s="58"/>
      <c r="J34" s="30"/>
      <c r="K34" s="58"/>
      <c r="L34" s="30"/>
      <c r="M34" s="58"/>
      <c r="N34" s="30"/>
      <c r="O34" s="58"/>
      <c r="P34" s="30"/>
      <c r="Q34" s="58"/>
      <c r="R34" s="30"/>
      <c r="S34" s="58"/>
      <c r="T34" s="30"/>
      <c r="U34" s="58"/>
      <c r="V34" s="30"/>
      <c r="W34" s="58"/>
      <c r="X34" s="30"/>
      <c r="Y34" s="58"/>
      <c r="Z34" s="30"/>
      <c r="AA34" s="58"/>
      <c r="AB34" s="30"/>
      <c r="AC34" s="58"/>
      <c r="AD34" s="30"/>
      <c r="AE34" s="58"/>
      <c r="AF34" s="55">
        <v>40000</v>
      </c>
      <c r="AG34" s="12">
        <f>+F34++H34++J34++L34++N34++P34++R34++T34++V34++X34++Z34++AB34++AD34+0</f>
        <v>0</v>
      </c>
      <c r="AH34" s="11">
        <f>G34+I34+K34+M34+O34+Q34+S34+U34+W34+Y34+AA34+AC34+AE34+0</f>
        <v>0</v>
      </c>
      <c r="AI34" s="6"/>
    </row>
    <row r="35" spans="1:35" x14ac:dyDescent="0.2">
      <c r="A35" s="4"/>
      <c r="B35" s="17">
        <v>27</v>
      </c>
      <c r="C35" s="41" t="s">
        <v>78</v>
      </c>
      <c r="D35" s="53"/>
      <c r="E35" s="15" t="s">
        <v>79</v>
      </c>
      <c r="F35" s="30"/>
      <c r="G35" s="31"/>
      <c r="H35" s="30"/>
      <c r="I35" s="58"/>
      <c r="J35" s="30"/>
      <c r="K35" s="58"/>
      <c r="L35" s="30"/>
      <c r="M35" s="58"/>
      <c r="N35" s="30"/>
      <c r="O35" s="58"/>
      <c r="P35" s="30"/>
      <c r="Q35" s="58"/>
      <c r="R35" s="30"/>
      <c r="S35" s="58"/>
      <c r="T35" s="30"/>
      <c r="U35" s="58"/>
      <c r="V35" s="30"/>
      <c r="W35" s="58"/>
      <c r="X35" s="30"/>
      <c r="Y35" s="58"/>
      <c r="Z35" s="30"/>
      <c r="AA35" s="58"/>
      <c r="AB35" s="30"/>
      <c r="AC35" s="58"/>
      <c r="AD35" s="30"/>
      <c r="AE35" s="58"/>
      <c r="AF35" s="55">
        <v>15000</v>
      </c>
      <c r="AG35" s="12">
        <f>+F35++H35++J35++L35++N35++P35++R35++T35++V35++X35++Z35++AB35++AD35+0</f>
        <v>0</v>
      </c>
      <c r="AH35" s="11">
        <f>G35+I35+K35+M35+O35+Q35+S35+U35+W35+Y35+AA35+AC35+AE35+0</f>
        <v>0</v>
      </c>
      <c r="AI35" s="6"/>
    </row>
    <row r="36" spans="1:35" x14ac:dyDescent="0.2">
      <c r="A36" s="4"/>
      <c r="B36" s="17">
        <v>28</v>
      </c>
      <c r="C36" s="41" t="s">
        <v>80</v>
      </c>
      <c r="D36" s="53"/>
      <c r="E36" s="15" t="s">
        <v>81</v>
      </c>
      <c r="F36" s="30"/>
      <c r="G36" s="31"/>
      <c r="H36" s="30"/>
      <c r="I36" s="58"/>
      <c r="J36" s="30"/>
      <c r="K36" s="58"/>
      <c r="L36" s="30"/>
      <c r="M36" s="58"/>
      <c r="N36" s="30"/>
      <c r="O36" s="58"/>
      <c r="P36" s="30"/>
      <c r="Q36" s="58"/>
      <c r="R36" s="30"/>
      <c r="S36" s="58"/>
      <c r="T36" s="30"/>
      <c r="U36" s="58"/>
      <c r="V36" s="30"/>
      <c r="W36" s="58"/>
      <c r="X36" s="30"/>
      <c r="Y36" s="58"/>
      <c r="Z36" s="30"/>
      <c r="AA36" s="58"/>
      <c r="AB36" s="30"/>
      <c r="AC36" s="58"/>
      <c r="AD36" s="30"/>
      <c r="AE36" s="58"/>
      <c r="AF36" s="55">
        <v>5000</v>
      </c>
      <c r="AG36" s="12">
        <f>+F36++H36++J36++L36++N36++P36++R36++T36++V36++X36++Z36++AB36++AD36+0</f>
        <v>0</v>
      </c>
      <c r="AH36" s="11">
        <f>G36+I36+K36+M36+O36+Q36+S36+U36+W36+Y36+AA36+AC36+AE36+0</f>
        <v>0</v>
      </c>
      <c r="AI36" s="6"/>
    </row>
    <row r="37" spans="1:35" x14ac:dyDescent="0.2">
      <c r="A37" s="4"/>
      <c r="B37" s="17">
        <v>29</v>
      </c>
      <c r="C37" s="41" t="s">
        <v>82</v>
      </c>
      <c r="D37" s="53"/>
      <c r="E37" s="15" t="s">
        <v>83</v>
      </c>
      <c r="F37" s="30"/>
      <c r="G37" s="31"/>
      <c r="H37" s="30"/>
      <c r="I37" s="58"/>
      <c r="J37" s="30"/>
      <c r="K37" s="58"/>
      <c r="L37" s="30"/>
      <c r="M37" s="58"/>
      <c r="N37" s="30"/>
      <c r="O37" s="58"/>
      <c r="P37" s="30"/>
      <c r="Q37" s="58"/>
      <c r="R37" s="30"/>
      <c r="S37" s="58"/>
      <c r="T37" s="30"/>
      <c r="U37" s="58"/>
      <c r="V37" s="30"/>
      <c r="W37" s="58"/>
      <c r="X37" s="30"/>
      <c r="Y37" s="58"/>
      <c r="Z37" s="30"/>
      <c r="AA37" s="58"/>
      <c r="AB37" s="30"/>
      <c r="AC37" s="58"/>
      <c r="AD37" s="30"/>
      <c r="AE37" s="58"/>
      <c r="AF37" s="55">
        <v>400000</v>
      </c>
      <c r="AG37" s="12">
        <f>+F37++H37++J37++L37++N37++P37++R37++T37++V37++X37++Z37++AB37++AD37+0</f>
        <v>0</v>
      </c>
      <c r="AH37" s="11">
        <f>G37+I37+K37+M37+O37+Q37+S37+U37+W37+Y37+AA37+AC37+AE37+0</f>
        <v>0</v>
      </c>
      <c r="AI37" s="6"/>
    </row>
    <row r="38" spans="1:35" x14ac:dyDescent="0.2">
      <c r="A38" s="4"/>
      <c r="B38" s="17">
        <v>30</v>
      </c>
      <c r="C38" s="41" t="s">
        <v>84</v>
      </c>
      <c r="D38" s="53"/>
      <c r="E38" s="15" t="s">
        <v>85</v>
      </c>
      <c r="F38" s="30"/>
      <c r="G38" s="31"/>
      <c r="H38" s="30"/>
      <c r="I38" s="58"/>
      <c r="J38" s="30"/>
      <c r="K38" s="58"/>
      <c r="L38" s="30"/>
      <c r="M38" s="58"/>
      <c r="N38" s="30"/>
      <c r="O38" s="58"/>
      <c r="P38" s="30"/>
      <c r="Q38" s="58"/>
      <c r="R38" s="30"/>
      <c r="S38" s="58"/>
      <c r="T38" s="30"/>
      <c r="U38" s="58"/>
      <c r="V38" s="30"/>
      <c r="W38" s="58"/>
      <c r="X38" s="30"/>
      <c r="Y38" s="58"/>
      <c r="Z38" s="30"/>
      <c r="AA38" s="58"/>
      <c r="AB38" s="30"/>
      <c r="AC38" s="58"/>
      <c r="AD38" s="30"/>
      <c r="AE38" s="58"/>
      <c r="AF38" s="55">
        <v>300000</v>
      </c>
      <c r="AG38" s="12">
        <f>+F38++H38++J38++L38++N38++P38++R38++T38++V38++X38++Z38++AB38++AD38+0</f>
        <v>0</v>
      </c>
      <c r="AH38" s="11">
        <f>G38+I38+K38+M38+O38+Q38+S38+U38+W38+Y38+AA38+AC38+AE38+0</f>
        <v>0</v>
      </c>
      <c r="AI38" s="6"/>
    </row>
    <row r="39" spans="1:35" x14ac:dyDescent="0.2">
      <c r="A39" s="4"/>
      <c r="B39" s="17">
        <v>31</v>
      </c>
      <c r="C39" s="41" t="s">
        <v>86</v>
      </c>
      <c r="D39" s="53"/>
      <c r="E39" s="15" t="s">
        <v>87</v>
      </c>
      <c r="F39" s="30"/>
      <c r="G39" s="31"/>
      <c r="H39" s="30"/>
      <c r="I39" s="58"/>
      <c r="J39" s="30"/>
      <c r="K39" s="58"/>
      <c r="L39" s="30"/>
      <c r="M39" s="58"/>
      <c r="N39" s="30"/>
      <c r="O39" s="58"/>
      <c r="P39" s="30"/>
      <c r="Q39" s="58"/>
      <c r="R39" s="30"/>
      <c r="S39" s="58"/>
      <c r="T39" s="30"/>
      <c r="U39" s="58"/>
      <c r="V39" s="30"/>
      <c r="W39" s="58"/>
      <c r="X39" s="30"/>
      <c r="Y39" s="58"/>
      <c r="Z39" s="30"/>
      <c r="AA39" s="58"/>
      <c r="AB39" s="30"/>
      <c r="AC39" s="58"/>
      <c r="AD39" s="30"/>
      <c r="AE39" s="58"/>
      <c r="AF39" s="55">
        <v>15000</v>
      </c>
      <c r="AG39" s="12">
        <f>+F39++H39++J39++L39++N39++P39++R39++T39++V39++X39++Z39++AB39++AD39+0</f>
        <v>0</v>
      </c>
      <c r="AH39" s="11">
        <f>G39+I39+K39+M39+O39+Q39+S39+U39+W39+Y39+AA39+AC39+AE39+0</f>
        <v>0</v>
      </c>
      <c r="AI39" s="6"/>
    </row>
    <row r="40" spans="1:35" x14ac:dyDescent="0.2">
      <c r="A40" s="4"/>
      <c r="B40" s="17">
        <v>32</v>
      </c>
      <c r="C40" s="41" t="s">
        <v>88</v>
      </c>
      <c r="D40" s="53"/>
      <c r="E40" s="15" t="s">
        <v>89</v>
      </c>
      <c r="F40" s="30"/>
      <c r="G40" s="31"/>
      <c r="H40" s="30"/>
      <c r="I40" s="58"/>
      <c r="J40" s="30"/>
      <c r="K40" s="58"/>
      <c r="L40" s="30"/>
      <c r="M40" s="58"/>
      <c r="N40" s="30"/>
      <c r="O40" s="58"/>
      <c r="P40" s="30"/>
      <c r="Q40" s="58"/>
      <c r="R40" s="30"/>
      <c r="S40" s="58"/>
      <c r="T40" s="30"/>
      <c r="U40" s="58"/>
      <c r="V40" s="30"/>
      <c r="W40" s="58"/>
      <c r="X40" s="30"/>
      <c r="Y40" s="58"/>
      <c r="Z40" s="30"/>
      <c r="AA40" s="58"/>
      <c r="AB40" s="30"/>
      <c r="AC40" s="58"/>
      <c r="AD40" s="30"/>
      <c r="AE40" s="58"/>
      <c r="AF40" s="55">
        <v>150000</v>
      </c>
      <c r="AG40" s="12">
        <f>+F40++H40++J40++L40++N40++P40++R40++T40++V40++X40++Z40++AB40++AD40+0</f>
        <v>0</v>
      </c>
      <c r="AH40" s="11">
        <f>G40+I40+K40+M40+O40+Q40+S40+U40+W40+Y40+AA40+AC40+AE40+0</f>
        <v>0</v>
      </c>
      <c r="AI40" s="6"/>
    </row>
    <row r="41" spans="1:35" x14ac:dyDescent="0.2">
      <c r="A41" s="4"/>
      <c r="B41" s="17">
        <v>33</v>
      </c>
      <c r="C41" s="41" t="s">
        <v>90</v>
      </c>
      <c r="D41" s="53"/>
      <c r="E41" s="15" t="s">
        <v>91</v>
      </c>
      <c r="F41" s="30"/>
      <c r="G41" s="31"/>
      <c r="H41" s="30"/>
      <c r="I41" s="58"/>
      <c r="J41" s="30"/>
      <c r="K41" s="58"/>
      <c r="L41" s="30"/>
      <c r="M41" s="58"/>
      <c r="N41" s="30"/>
      <c r="O41" s="58"/>
      <c r="P41" s="30"/>
      <c r="Q41" s="58"/>
      <c r="R41" s="30"/>
      <c r="S41" s="58"/>
      <c r="T41" s="30"/>
      <c r="U41" s="58"/>
      <c r="V41" s="30"/>
      <c r="W41" s="58"/>
      <c r="X41" s="30"/>
      <c r="Y41" s="58"/>
      <c r="Z41" s="30"/>
      <c r="AA41" s="58"/>
      <c r="AB41" s="30"/>
      <c r="AC41" s="58"/>
      <c r="AD41" s="30"/>
      <c r="AE41" s="58"/>
      <c r="AF41" s="55">
        <v>40000</v>
      </c>
      <c r="AG41" s="12">
        <f>+F41++H41++J41++L41++N41++P41++R41++T41++V41++X41++Z41++AB41++AD41+0</f>
        <v>0</v>
      </c>
      <c r="AH41" s="11">
        <f>G41+I41+K41+M41+O41+Q41+S41+U41+W41+Y41+AA41+AC41+AE41+0</f>
        <v>0</v>
      </c>
      <c r="AI41" s="6"/>
    </row>
    <row r="42" spans="1:35" x14ac:dyDescent="0.2">
      <c r="A42" s="4"/>
      <c r="B42" s="17">
        <v>34</v>
      </c>
      <c r="C42" s="41" t="s">
        <v>92</v>
      </c>
      <c r="D42" s="53"/>
      <c r="E42" s="15" t="s">
        <v>93</v>
      </c>
      <c r="F42" s="30"/>
      <c r="G42" s="31"/>
      <c r="H42" s="30"/>
      <c r="I42" s="58"/>
      <c r="J42" s="30"/>
      <c r="K42" s="58"/>
      <c r="L42" s="30"/>
      <c r="M42" s="58"/>
      <c r="N42" s="30"/>
      <c r="O42" s="58"/>
      <c r="P42" s="30"/>
      <c r="Q42" s="58"/>
      <c r="R42" s="30"/>
      <c r="S42" s="58"/>
      <c r="T42" s="30"/>
      <c r="U42" s="58"/>
      <c r="V42" s="30"/>
      <c r="W42" s="58"/>
      <c r="X42" s="30"/>
      <c r="Y42" s="58"/>
      <c r="Z42" s="30"/>
      <c r="AA42" s="58"/>
      <c r="AB42" s="30"/>
      <c r="AC42" s="58"/>
      <c r="AD42" s="30"/>
      <c r="AE42" s="58"/>
      <c r="AF42" s="55">
        <v>50000</v>
      </c>
      <c r="AG42" s="12">
        <f>+F42++H42++J42++L42++N42++P42++R42++T42++V42++X42++Z42++AB42++AD42+0</f>
        <v>0</v>
      </c>
      <c r="AH42" s="11">
        <f>G42+I42+K42+M42+O42+Q42+S42+U42+W42+Y42+AA42+AC42+AE42+0</f>
        <v>0</v>
      </c>
      <c r="AI42" s="6"/>
    </row>
    <row r="43" spans="1:35" x14ac:dyDescent="0.2">
      <c r="A43" s="4"/>
      <c r="B43" s="17">
        <v>35</v>
      </c>
      <c r="C43" s="41" t="s">
        <v>94</v>
      </c>
      <c r="D43" s="53"/>
      <c r="E43" s="15" t="s">
        <v>95</v>
      </c>
      <c r="F43" s="30"/>
      <c r="G43" s="31"/>
      <c r="H43" s="30"/>
      <c r="I43" s="58"/>
      <c r="J43" s="30"/>
      <c r="K43" s="58"/>
      <c r="L43" s="30"/>
      <c r="M43" s="58"/>
      <c r="N43" s="30"/>
      <c r="O43" s="58"/>
      <c r="P43" s="30"/>
      <c r="Q43" s="58"/>
      <c r="R43" s="30"/>
      <c r="S43" s="58"/>
      <c r="T43" s="30"/>
      <c r="U43" s="58"/>
      <c r="V43" s="30"/>
      <c r="W43" s="58"/>
      <c r="X43" s="30"/>
      <c r="Y43" s="58"/>
      <c r="Z43" s="30"/>
      <c r="AA43" s="58"/>
      <c r="AB43" s="30"/>
      <c r="AC43" s="58"/>
      <c r="AD43" s="30"/>
      <c r="AE43" s="58"/>
      <c r="AF43" s="55">
        <v>30000</v>
      </c>
      <c r="AG43" s="12">
        <f>+F43++H43++J43++L43++N43++P43++R43++T43++V43++X43++Z43++AB43++AD43+0</f>
        <v>0</v>
      </c>
      <c r="AH43" s="11">
        <f>G43+I43+K43+M43+O43+Q43+S43+U43+W43+Y43+AA43+AC43+AE43+0</f>
        <v>0</v>
      </c>
      <c r="AI43" s="6"/>
    </row>
    <row r="44" spans="1:35" x14ac:dyDescent="0.2">
      <c r="A44" s="4"/>
      <c r="B44" s="17">
        <v>36</v>
      </c>
      <c r="C44" s="41" t="s">
        <v>96</v>
      </c>
      <c r="D44" s="53"/>
      <c r="E44" s="15" t="s">
        <v>97</v>
      </c>
      <c r="F44" s="30"/>
      <c r="G44" s="31"/>
      <c r="H44" s="30"/>
      <c r="I44" s="58"/>
      <c r="J44" s="30"/>
      <c r="K44" s="58"/>
      <c r="L44" s="30"/>
      <c r="M44" s="58"/>
      <c r="N44" s="30"/>
      <c r="O44" s="58"/>
      <c r="P44" s="30"/>
      <c r="Q44" s="58"/>
      <c r="R44" s="30"/>
      <c r="S44" s="58"/>
      <c r="T44" s="30"/>
      <c r="U44" s="58"/>
      <c r="V44" s="30"/>
      <c r="W44" s="58"/>
      <c r="X44" s="30"/>
      <c r="Y44" s="58"/>
      <c r="Z44" s="30"/>
      <c r="AA44" s="58"/>
      <c r="AB44" s="30"/>
      <c r="AC44" s="58"/>
      <c r="AD44" s="30"/>
      <c r="AE44" s="58"/>
      <c r="AF44" s="55">
        <v>50000</v>
      </c>
      <c r="AG44" s="12">
        <f>+F44++H44++J44++L44++N44++P44++R44++T44++V44++X44++Z44++AB44++AD44+0</f>
        <v>0</v>
      </c>
      <c r="AH44" s="11">
        <f>G44+I44+K44+M44+O44+Q44+S44+U44+W44+Y44+AA44+AC44+AE44+0</f>
        <v>0</v>
      </c>
      <c r="AI44" s="6"/>
    </row>
    <row r="45" spans="1:35" x14ac:dyDescent="0.2">
      <c r="A45" s="4"/>
      <c r="B45" s="17">
        <v>37</v>
      </c>
      <c r="C45" s="41" t="s">
        <v>98</v>
      </c>
      <c r="D45" s="53"/>
      <c r="E45" s="15" t="s">
        <v>99</v>
      </c>
      <c r="F45" s="30"/>
      <c r="G45" s="31"/>
      <c r="H45" s="30"/>
      <c r="I45" s="58"/>
      <c r="J45" s="30"/>
      <c r="K45" s="58"/>
      <c r="L45" s="30"/>
      <c r="M45" s="58"/>
      <c r="N45" s="30"/>
      <c r="O45" s="58"/>
      <c r="P45" s="30"/>
      <c r="Q45" s="58"/>
      <c r="R45" s="30"/>
      <c r="S45" s="58"/>
      <c r="T45" s="30"/>
      <c r="U45" s="58"/>
      <c r="V45" s="30"/>
      <c r="W45" s="58"/>
      <c r="X45" s="30"/>
      <c r="Y45" s="58"/>
      <c r="Z45" s="30"/>
      <c r="AA45" s="58"/>
      <c r="AB45" s="30"/>
      <c r="AC45" s="58"/>
      <c r="AD45" s="30"/>
      <c r="AE45" s="58"/>
      <c r="AF45" s="55">
        <v>150000</v>
      </c>
      <c r="AG45" s="12">
        <f>+F45++H45++J45++L45++N45++P45++R45++T45++V45++X45++Z45++AB45++AD45+0</f>
        <v>0</v>
      </c>
      <c r="AH45" s="11">
        <f>G45+I45+K45+M45+O45+Q45+S45+U45+W45+Y45+AA45+AC45+AE45+0</f>
        <v>0</v>
      </c>
      <c r="AI45" s="6"/>
    </row>
    <row r="46" spans="1:35" x14ac:dyDescent="0.2">
      <c r="A46" s="4"/>
      <c r="B46" s="17">
        <v>38</v>
      </c>
      <c r="C46" s="41" t="s">
        <v>100</v>
      </c>
      <c r="D46" s="53"/>
      <c r="E46" s="15" t="s">
        <v>101</v>
      </c>
      <c r="F46" s="30"/>
      <c r="G46" s="31"/>
      <c r="H46" s="30"/>
      <c r="I46" s="58"/>
      <c r="J46" s="30"/>
      <c r="K46" s="58"/>
      <c r="L46" s="30"/>
      <c r="M46" s="58"/>
      <c r="N46" s="30"/>
      <c r="O46" s="58"/>
      <c r="P46" s="30"/>
      <c r="Q46" s="58"/>
      <c r="R46" s="30"/>
      <c r="S46" s="58"/>
      <c r="T46" s="30"/>
      <c r="U46" s="58"/>
      <c r="V46" s="30"/>
      <c r="W46" s="58"/>
      <c r="X46" s="30"/>
      <c r="Y46" s="58"/>
      <c r="Z46" s="30"/>
      <c r="AA46" s="58"/>
      <c r="AB46" s="30"/>
      <c r="AC46" s="58"/>
      <c r="AD46" s="30"/>
      <c r="AE46" s="58"/>
      <c r="AF46" s="55">
        <v>20000</v>
      </c>
      <c r="AG46" s="12">
        <f>+F46++H46++J46++L46++N46++P46++R46++T46++V46++X46++Z46++AB46++AD46+0</f>
        <v>0</v>
      </c>
      <c r="AH46" s="11">
        <f>G46+I46+K46+M46+O46+Q46+S46+U46+W46+Y46+AA46+AC46+AE46+0</f>
        <v>0</v>
      </c>
      <c r="AI46" s="6"/>
    </row>
    <row r="47" spans="1:35" x14ac:dyDescent="0.2">
      <c r="A47" s="4"/>
      <c r="B47" s="17">
        <v>39</v>
      </c>
      <c r="C47" s="41" t="s">
        <v>102</v>
      </c>
      <c r="D47" s="53"/>
      <c r="E47" s="15" t="s">
        <v>103</v>
      </c>
      <c r="F47" s="30"/>
      <c r="G47" s="31"/>
      <c r="H47" s="30"/>
      <c r="I47" s="58"/>
      <c r="J47" s="30"/>
      <c r="K47" s="58"/>
      <c r="L47" s="30"/>
      <c r="M47" s="58"/>
      <c r="N47" s="30"/>
      <c r="O47" s="58"/>
      <c r="P47" s="30"/>
      <c r="Q47" s="58"/>
      <c r="R47" s="30"/>
      <c r="S47" s="58"/>
      <c r="T47" s="30"/>
      <c r="U47" s="58"/>
      <c r="V47" s="30"/>
      <c r="W47" s="58"/>
      <c r="X47" s="30"/>
      <c r="Y47" s="58"/>
      <c r="Z47" s="30"/>
      <c r="AA47" s="58"/>
      <c r="AB47" s="30"/>
      <c r="AC47" s="58"/>
      <c r="AD47" s="30"/>
      <c r="AE47" s="58"/>
      <c r="AF47" s="55">
        <v>30000</v>
      </c>
      <c r="AG47" s="12">
        <f>+F47++H47++J47++L47++N47++P47++R47++T47++V47++X47++Z47++AB47++AD47+0</f>
        <v>0</v>
      </c>
      <c r="AH47" s="11">
        <f>G47+I47+K47+M47+O47+Q47+S47+U47+W47+Y47+AA47+AC47+AE47+0</f>
        <v>0</v>
      </c>
      <c r="AI47" s="6"/>
    </row>
    <row r="48" spans="1:35" x14ac:dyDescent="0.2">
      <c r="A48" s="4"/>
      <c r="B48" s="17">
        <v>40</v>
      </c>
      <c r="C48" s="41" t="s">
        <v>104</v>
      </c>
      <c r="D48" s="53"/>
      <c r="E48" s="15" t="s">
        <v>105</v>
      </c>
      <c r="F48" s="30"/>
      <c r="G48" s="31"/>
      <c r="H48" s="30"/>
      <c r="I48" s="58"/>
      <c r="J48" s="30"/>
      <c r="K48" s="58"/>
      <c r="L48" s="30"/>
      <c r="M48" s="58"/>
      <c r="N48" s="30"/>
      <c r="O48" s="58"/>
      <c r="P48" s="30"/>
      <c r="Q48" s="58"/>
      <c r="R48" s="30"/>
      <c r="S48" s="58"/>
      <c r="T48" s="30"/>
      <c r="U48" s="58"/>
      <c r="V48" s="30"/>
      <c r="W48" s="58"/>
      <c r="X48" s="30"/>
      <c r="Y48" s="58"/>
      <c r="Z48" s="30"/>
      <c r="AA48" s="58"/>
      <c r="AB48" s="30"/>
      <c r="AC48" s="58"/>
      <c r="AD48" s="30"/>
      <c r="AE48" s="58"/>
      <c r="AF48" s="55">
        <v>80000</v>
      </c>
      <c r="AG48" s="12">
        <f>+F48++H48++J48++L48++N48++P48++R48++T48++V48++X48++Z48++AB48++AD48+0</f>
        <v>0</v>
      </c>
      <c r="AH48" s="11">
        <f>G48+I48+K48+M48+O48+Q48+S48+U48+W48+Y48+AA48+AC48+AE48+0</f>
        <v>0</v>
      </c>
      <c r="AI48" s="6"/>
    </row>
    <row r="49" spans="1:35" x14ac:dyDescent="0.2">
      <c r="A49" s="4"/>
      <c r="B49" s="17">
        <v>41</v>
      </c>
      <c r="C49" s="41" t="s">
        <v>106</v>
      </c>
      <c r="D49" s="53"/>
      <c r="E49" s="15" t="s">
        <v>107</v>
      </c>
      <c r="F49" s="30"/>
      <c r="G49" s="31"/>
      <c r="H49" s="30"/>
      <c r="I49" s="58"/>
      <c r="J49" s="30"/>
      <c r="K49" s="58"/>
      <c r="L49" s="30"/>
      <c r="M49" s="58"/>
      <c r="N49" s="30"/>
      <c r="O49" s="58"/>
      <c r="P49" s="30"/>
      <c r="Q49" s="58"/>
      <c r="R49" s="30"/>
      <c r="S49" s="58"/>
      <c r="T49" s="30"/>
      <c r="U49" s="58"/>
      <c r="V49" s="30"/>
      <c r="W49" s="58"/>
      <c r="X49" s="30"/>
      <c r="Y49" s="58"/>
      <c r="Z49" s="30"/>
      <c r="AA49" s="58"/>
      <c r="AB49" s="30"/>
      <c r="AC49" s="58"/>
      <c r="AD49" s="30"/>
      <c r="AE49" s="58"/>
      <c r="AF49" s="55">
        <v>20000</v>
      </c>
      <c r="AG49" s="12">
        <f>+F49++H49++J49++L49++N49++P49++R49++T49++V49++X49++Z49++AB49++AD49+0</f>
        <v>0</v>
      </c>
      <c r="AH49" s="11">
        <f>G49+I49+K49+M49+O49+Q49+S49+U49+W49+Y49+AA49+AC49+AE49+0</f>
        <v>0</v>
      </c>
      <c r="AI49" s="6"/>
    </row>
    <row r="50" spans="1:35" x14ac:dyDescent="0.2">
      <c r="A50" s="4"/>
      <c r="B50" s="17">
        <v>42</v>
      </c>
      <c r="C50" s="41" t="s">
        <v>108</v>
      </c>
      <c r="D50" s="53"/>
      <c r="E50" s="15" t="s">
        <v>109</v>
      </c>
      <c r="F50" s="30"/>
      <c r="G50" s="31"/>
      <c r="H50" s="30"/>
      <c r="I50" s="58"/>
      <c r="J50" s="30"/>
      <c r="K50" s="58"/>
      <c r="L50" s="30"/>
      <c r="M50" s="58"/>
      <c r="N50" s="30"/>
      <c r="O50" s="58"/>
      <c r="P50" s="30"/>
      <c r="Q50" s="58"/>
      <c r="R50" s="30"/>
      <c r="S50" s="58"/>
      <c r="T50" s="30"/>
      <c r="U50" s="58"/>
      <c r="V50" s="30"/>
      <c r="W50" s="58"/>
      <c r="X50" s="30"/>
      <c r="Y50" s="58"/>
      <c r="Z50" s="30"/>
      <c r="AA50" s="58"/>
      <c r="AB50" s="30"/>
      <c r="AC50" s="58"/>
      <c r="AD50" s="30"/>
      <c r="AE50" s="58"/>
      <c r="AF50" s="55">
        <v>10000</v>
      </c>
      <c r="AG50" s="12">
        <f>+F50++H50++J50++L50++N50++P50++R50++T50++V50++X50++Z50++AB50++AD50+0</f>
        <v>0</v>
      </c>
      <c r="AH50" s="11">
        <f>G50+I50+K50+M50+O50+Q50+S50+U50+W50+Y50+AA50+AC50+AE50+0</f>
        <v>0</v>
      </c>
      <c r="AI50" s="6"/>
    </row>
    <row r="51" spans="1:35" x14ac:dyDescent="0.2">
      <c r="A51" s="4"/>
      <c r="B51" s="17">
        <v>43</v>
      </c>
      <c r="C51" s="41" t="s">
        <v>110</v>
      </c>
      <c r="D51" s="53"/>
      <c r="E51" s="15" t="s">
        <v>111</v>
      </c>
      <c r="F51" s="30"/>
      <c r="G51" s="31"/>
      <c r="H51" s="30"/>
      <c r="I51" s="58"/>
      <c r="J51" s="30"/>
      <c r="K51" s="58"/>
      <c r="L51" s="30"/>
      <c r="M51" s="58"/>
      <c r="N51" s="30"/>
      <c r="O51" s="58"/>
      <c r="P51" s="30"/>
      <c r="Q51" s="58"/>
      <c r="R51" s="30"/>
      <c r="S51" s="58"/>
      <c r="T51" s="30"/>
      <c r="U51" s="58"/>
      <c r="V51" s="30"/>
      <c r="W51" s="58"/>
      <c r="X51" s="30"/>
      <c r="Y51" s="58"/>
      <c r="Z51" s="30"/>
      <c r="AA51" s="58"/>
      <c r="AB51" s="30"/>
      <c r="AC51" s="58"/>
      <c r="AD51" s="30"/>
      <c r="AE51" s="58"/>
      <c r="AF51" s="55">
        <v>100000</v>
      </c>
      <c r="AG51" s="12">
        <f>+F51++H51++J51++L51++N51++P51++R51++T51++V51++X51++Z51++AB51++AD51+0</f>
        <v>0</v>
      </c>
      <c r="AH51" s="11">
        <f>G51+I51+K51+M51+O51+Q51+S51+U51+W51+Y51+AA51+AC51+AE51+0</f>
        <v>0</v>
      </c>
      <c r="AI51" s="6"/>
    </row>
    <row r="52" spans="1:35" x14ac:dyDescent="0.2">
      <c r="A52" s="4"/>
      <c r="B52" s="17">
        <v>44</v>
      </c>
      <c r="C52" s="41" t="s">
        <v>112</v>
      </c>
      <c r="D52" s="53"/>
      <c r="E52" s="15" t="s">
        <v>113</v>
      </c>
      <c r="F52" s="30"/>
      <c r="G52" s="31"/>
      <c r="H52" s="30"/>
      <c r="I52" s="58"/>
      <c r="J52" s="30"/>
      <c r="K52" s="58"/>
      <c r="L52" s="30"/>
      <c r="M52" s="58"/>
      <c r="N52" s="30"/>
      <c r="O52" s="58"/>
      <c r="P52" s="30"/>
      <c r="Q52" s="58"/>
      <c r="R52" s="30"/>
      <c r="S52" s="58"/>
      <c r="T52" s="30"/>
      <c r="U52" s="58"/>
      <c r="V52" s="30"/>
      <c r="W52" s="58"/>
      <c r="X52" s="30"/>
      <c r="Y52" s="58"/>
      <c r="Z52" s="30"/>
      <c r="AA52" s="58"/>
      <c r="AB52" s="30"/>
      <c r="AC52" s="58"/>
      <c r="AD52" s="30"/>
      <c r="AE52" s="58"/>
      <c r="AF52" s="55">
        <v>60000</v>
      </c>
      <c r="AG52" s="12">
        <f>+F52++H52++J52++L52++N52++P52++R52++T52++V52++X52++Z52++AB52++AD52+0</f>
        <v>0</v>
      </c>
      <c r="AH52" s="11">
        <f>G52+I52+K52+M52+O52+Q52+S52+U52+W52+Y52+AA52+AC52+AE52+0</f>
        <v>0</v>
      </c>
      <c r="AI52" s="6"/>
    </row>
    <row r="53" spans="1:35" x14ac:dyDescent="0.2">
      <c r="A53" s="4"/>
      <c r="B53" s="17">
        <v>45</v>
      </c>
      <c r="C53" s="41" t="s">
        <v>114</v>
      </c>
      <c r="D53" s="53"/>
      <c r="E53" s="15" t="s">
        <v>115</v>
      </c>
      <c r="F53" s="30"/>
      <c r="G53" s="31"/>
      <c r="H53" s="30"/>
      <c r="I53" s="58"/>
      <c r="J53" s="30"/>
      <c r="K53" s="58"/>
      <c r="L53" s="30"/>
      <c r="M53" s="58"/>
      <c r="N53" s="30"/>
      <c r="O53" s="58"/>
      <c r="P53" s="30"/>
      <c r="Q53" s="58"/>
      <c r="R53" s="30"/>
      <c r="S53" s="58"/>
      <c r="T53" s="30"/>
      <c r="U53" s="58"/>
      <c r="V53" s="30"/>
      <c r="W53" s="58"/>
      <c r="X53" s="30"/>
      <c r="Y53" s="58"/>
      <c r="Z53" s="30"/>
      <c r="AA53" s="58"/>
      <c r="AB53" s="30"/>
      <c r="AC53" s="58"/>
      <c r="AD53" s="30"/>
      <c r="AE53" s="58"/>
      <c r="AF53" s="55">
        <v>100000</v>
      </c>
      <c r="AG53" s="12">
        <f>+F53++H53++J53++L53++N53++P53++R53++T53++V53++X53++Z53++AB53++AD53+0</f>
        <v>0</v>
      </c>
      <c r="AH53" s="11">
        <f>G53+I53+K53+M53+O53+Q53+S53+U53+W53+Y53+AA53+AC53+AE53+0</f>
        <v>0</v>
      </c>
      <c r="AI53" s="6"/>
    </row>
    <row r="54" spans="1:35" x14ac:dyDescent="0.2">
      <c r="A54" s="4"/>
      <c r="B54" s="17">
        <v>46</v>
      </c>
      <c r="C54" s="41" t="s">
        <v>116</v>
      </c>
      <c r="D54" s="53"/>
      <c r="E54" s="15" t="s">
        <v>117</v>
      </c>
      <c r="F54" s="30"/>
      <c r="G54" s="31"/>
      <c r="H54" s="30"/>
      <c r="I54" s="58"/>
      <c r="J54" s="30"/>
      <c r="K54" s="58"/>
      <c r="L54" s="30"/>
      <c r="M54" s="58"/>
      <c r="N54" s="30"/>
      <c r="O54" s="58"/>
      <c r="P54" s="30"/>
      <c r="Q54" s="58"/>
      <c r="R54" s="30"/>
      <c r="S54" s="58"/>
      <c r="T54" s="30"/>
      <c r="U54" s="58"/>
      <c r="V54" s="30"/>
      <c r="W54" s="58"/>
      <c r="X54" s="30"/>
      <c r="Y54" s="58"/>
      <c r="Z54" s="30"/>
      <c r="AA54" s="58"/>
      <c r="AB54" s="30"/>
      <c r="AC54" s="58"/>
      <c r="AD54" s="30"/>
      <c r="AE54" s="58"/>
      <c r="AF54" s="55">
        <v>15000</v>
      </c>
      <c r="AG54" s="12">
        <f>+F54++H54++J54++L54++N54++P54++R54++T54++V54++X54++Z54++AB54++AD54+0</f>
        <v>0</v>
      </c>
      <c r="AH54" s="11">
        <f>G54+I54+K54+M54+O54+Q54+S54+U54+W54+Y54+AA54+AC54+AE54+0</f>
        <v>0</v>
      </c>
      <c r="AI54" s="6"/>
    </row>
    <row r="55" spans="1:35" x14ac:dyDescent="0.2">
      <c r="A55" s="4"/>
      <c r="B55" s="17">
        <v>47</v>
      </c>
      <c r="C55" s="41" t="s">
        <v>118</v>
      </c>
      <c r="D55" s="53"/>
      <c r="E55" s="15" t="s">
        <v>119</v>
      </c>
      <c r="F55" s="30"/>
      <c r="G55" s="31"/>
      <c r="H55" s="30"/>
      <c r="I55" s="58"/>
      <c r="J55" s="30"/>
      <c r="K55" s="58"/>
      <c r="L55" s="30"/>
      <c r="M55" s="58"/>
      <c r="N55" s="30"/>
      <c r="O55" s="58"/>
      <c r="P55" s="30"/>
      <c r="Q55" s="58"/>
      <c r="R55" s="30"/>
      <c r="S55" s="58"/>
      <c r="T55" s="30"/>
      <c r="U55" s="58"/>
      <c r="V55" s="30"/>
      <c r="W55" s="58"/>
      <c r="X55" s="30"/>
      <c r="Y55" s="58"/>
      <c r="Z55" s="30"/>
      <c r="AA55" s="58"/>
      <c r="AB55" s="30"/>
      <c r="AC55" s="58"/>
      <c r="AD55" s="30"/>
      <c r="AE55" s="58"/>
      <c r="AF55" s="55">
        <v>20000</v>
      </c>
      <c r="AG55" s="12">
        <f>+F55++H55++J55++L55++N55++P55++R55++T55++V55++X55++Z55++AB55++AD55+0</f>
        <v>0</v>
      </c>
      <c r="AH55" s="11">
        <f>G55+I55+K55+M55+O55+Q55+S55+U55+W55+Y55+AA55+AC55+AE55+0</f>
        <v>0</v>
      </c>
      <c r="AI55" s="6"/>
    </row>
    <row r="56" spans="1:35" x14ac:dyDescent="0.2">
      <c r="A56" s="4"/>
      <c r="B56" s="17">
        <v>48</v>
      </c>
      <c r="C56" s="41" t="s">
        <v>120</v>
      </c>
      <c r="D56" s="53"/>
      <c r="E56" s="15" t="s">
        <v>121</v>
      </c>
      <c r="F56" s="30"/>
      <c r="G56" s="31"/>
      <c r="H56" s="30"/>
      <c r="I56" s="58"/>
      <c r="J56" s="30"/>
      <c r="K56" s="58"/>
      <c r="L56" s="30"/>
      <c r="M56" s="58"/>
      <c r="N56" s="30"/>
      <c r="O56" s="58"/>
      <c r="P56" s="30"/>
      <c r="Q56" s="58"/>
      <c r="R56" s="30"/>
      <c r="S56" s="58"/>
      <c r="T56" s="30"/>
      <c r="U56" s="58"/>
      <c r="V56" s="30"/>
      <c r="W56" s="58"/>
      <c r="X56" s="30"/>
      <c r="Y56" s="58"/>
      <c r="Z56" s="30"/>
      <c r="AA56" s="58"/>
      <c r="AB56" s="30"/>
      <c r="AC56" s="58"/>
      <c r="AD56" s="30"/>
      <c r="AE56" s="58"/>
      <c r="AF56" s="55">
        <v>200000</v>
      </c>
      <c r="AG56" s="12">
        <f>+F56++H56++J56++L56++N56++P56++R56++T56++V56++X56++Z56++AB56++AD56+0</f>
        <v>0</v>
      </c>
      <c r="AH56" s="11">
        <f>G56+I56+K56+M56+O56+Q56+S56+U56+W56+Y56+AA56+AC56+AE56+0</f>
        <v>0</v>
      </c>
      <c r="AI56" s="6"/>
    </row>
    <row r="57" spans="1:35" x14ac:dyDescent="0.2">
      <c r="A57" s="4"/>
      <c r="B57" s="17">
        <v>49</v>
      </c>
      <c r="C57" s="41" t="s">
        <v>122</v>
      </c>
      <c r="D57" s="53"/>
      <c r="E57" s="15" t="s">
        <v>123</v>
      </c>
      <c r="F57" s="30"/>
      <c r="G57" s="31"/>
      <c r="H57" s="30"/>
      <c r="I57" s="58"/>
      <c r="J57" s="30"/>
      <c r="K57" s="58"/>
      <c r="L57" s="30"/>
      <c r="M57" s="58"/>
      <c r="N57" s="30"/>
      <c r="O57" s="58"/>
      <c r="P57" s="30"/>
      <c r="Q57" s="58"/>
      <c r="R57" s="30"/>
      <c r="S57" s="58"/>
      <c r="T57" s="30"/>
      <c r="U57" s="58"/>
      <c r="V57" s="30"/>
      <c r="W57" s="58"/>
      <c r="X57" s="30"/>
      <c r="Y57" s="58"/>
      <c r="Z57" s="30"/>
      <c r="AA57" s="58"/>
      <c r="AB57" s="30"/>
      <c r="AC57" s="58"/>
      <c r="AD57" s="30"/>
      <c r="AE57" s="58"/>
      <c r="AF57" s="55">
        <v>210000</v>
      </c>
      <c r="AG57" s="12">
        <f>+F57++H57++J57++L57++N57++P57++R57++T57++V57++X57++Z57++AB57++AD57+0</f>
        <v>0</v>
      </c>
      <c r="AH57" s="11">
        <f>G57+I57+K57+M57+O57+Q57+S57+U57+W57+Y57+AA57+AC57+AE57+0</f>
        <v>0</v>
      </c>
      <c r="AI57" s="6"/>
    </row>
    <row r="58" spans="1:35" x14ac:dyDescent="0.2">
      <c r="A58" s="4"/>
      <c r="B58" s="17">
        <v>50</v>
      </c>
      <c r="C58" s="41" t="s">
        <v>124</v>
      </c>
      <c r="D58" s="53"/>
      <c r="E58" s="15" t="s">
        <v>125</v>
      </c>
      <c r="F58" s="30"/>
      <c r="G58" s="31"/>
      <c r="H58" s="30"/>
      <c r="I58" s="58"/>
      <c r="J58" s="30"/>
      <c r="K58" s="58"/>
      <c r="L58" s="30"/>
      <c r="M58" s="58"/>
      <c r="N58" s="30"/>
      <c r="O58" s="58"/>
      <c r="P58" s="30"/>
      <c r="Q58" s="58"/>
      <c r="R58" s="30"/>
      <c r="S58" s="58"/>
      <c r="T58" s="30"/>
      <c r="U58" s="58"/>
      <c r="V58" s="30"/>
      <c r="W58" s="58"/>
      <c r="X58" s="30"/>
      <c r="Y58" s="58"/>
      <c r="Z58" s="30"/>
      <c r="AA58" s="58"/>
      <c r="AB58" s="30"/>
      <c r="AC58" s="58"/>
      <c r="AD58" s="30"/>
      <c r="AE58" s="58"/>
      <c r="AF58" s="55">
        <v>30000</v>
      </c>
      <c r="AG58" s="12">
        <f>+F58++H58++J58++L58++N58++P58++R58++T58++V58++X58++Z58++AB58++AD58+0</f>
        <v>0</v>
      </c>
      <c r="AH58" s="11">
        <f>G58+I58+K58+M58+O58+Q58+S58+U58+W58+Y58+AA58+AC58+AE58+0</f>
        <v>0</v>
      </c>
      <c r="AI58" s="6"/>
    </row>
    <row r="59" spans="1:35" x14ac:dyDescent="0.2">
      <c r="A59" s="4"/>
      <c r="B59" s="17">
        <v>51</v>
      </c>
      <c r="C59" s="41" t="s">
        <v>126</v>
      </c>
      <c r="D59" s="53"/>
      <c r="E59" s="15" t="s">
        <v>127</v>
      </c>
      <c r="F59" s="30"/>
      <c r="G59" s="31"/>
      <c r="H59" s="30"/>
      <c r="I59" s="58"/>
      <c r="J59" s="30"/>
      <c r="K59" s="58"/>
      <c r="L59" s="30"/>
      <c r="M59" s="58"/>
      <c r="N59" s="30"/>
      <c r="O59" s="58"/>
      <c r="P59" s="30"/>
      <c r="Q59" s="58"/>
      <c r="R59" s="30"/>
      <c r="S59" s="58"/>
      <c r="T59" s="30"/>
      <c r="U59" s="58"/>
      <c r="V59" s="30"/>
      <c r="W59" s="58"/>
      <c r="X59" s="30"/>
      <c r="Y59" s="58"/>
      <c r="Z59" s="30"/>
      <c r="AA59" s="58"/>
      <c r="AB59" s="30"/>
      <c r="AC59" s="58"/>
      <c r="AD59" s="30"/>
      <c r="AE59" s="58"/>
      <c r="AF59" s="55">
        <v>30000</v>
      </c>
      <c r="AG59" s="12">
        <f>+F59++H59++J59++L59++N59++P59++R59++T59++V59++X59++Z59++AB59++AD59+0</f>
        <v>0</v>
      </c>
      <c r="AH59" s="11">
        <f>G59+I59+K59+M59+O59+Q59+S59+U59+W59+Y59+AA59+AC59+AE59+0</f>
        <v>0</v>
      </c>
      <c r="AI59" s="6"/>
    </row>
    <row r="60" spans="1:35" x14ac:dyDescent="0.2">
      <c r="A60" s="4"/>
      <c r="B60" s="17">
        <v>52</v>
      </c>
      <c r="C60" s="41" t="s">
        <v>128</v>
      </c>
      <c r="D60" s="53"/>
      <c r="E60" s="15" t="s">
        <v>129</v>
      </c>
      <c r="F60" s="30"/>
      <c r="G60" s="31"/>
      <c r="H60" s="30"/>
      <c r="I60" s="58"/>
      <c r="J60" s="30"/>
      <c r="K60" s="58"/>
      <c r="L60" s="30"/>
      <c r="M60" s="58"/>
      <c r="N60" s="30"/>
      <c r="O60" s="58"/>
      <c r="P60" s="30"/>
      <c r="Q60" s="58"/>
      <c r="R60" s="30"/>
      <c r="S60" s="58"/>
      <c r="T60" s="30"/>
      <c r="U60" s="58"/>
      <c r="V60" s="30"/>
      <c r="W60" s="58"/>
      <c r="X60" s="30"/>
      <c r="Y60" s="58"/>
      <c r="Z60" s="30"/>
      <c r="AA60" s="58"/>
      <c r="AB60" s="30"/>
      <c r="AC60" s="58"/>
      <c r="AD60" s="30"/>
      <c r="AE60" s="58"/>
      <c r="AF60" s="55">
        <v>400000</v>
      </c>
      <c r="AG60" s="12">
        <f>+F60++H60++J60++L60++N60++P60++R60++T60++V60++X60++Z60++AB60++AD60+0</f>
        <v>0</v>
      </c>
      <c r="AH60" s="11">
        <f>G60+I60+K60+M60+O60+Q60+S60+U60+W60+Y60+AA60+AC60+AE60+0</f>
        <v>0</v>
      </c>
      <c r="AI60" s="6"/>
    </row>
    <row r="61" spans="1:35" x14ac:dyDescent="0.2">
      <c r="A61" s="4"/>
      <c r="B61" s="17">
        <v>53</v>
      </c>
      <c r="C61" s="41" t="s">
        <v>130</v>
      </c>
      <c r="D61" s="53"/>
      <c r="E61" s="15" t="s">
        <v>131</v>
      </c>
      <c r="F61" s="30"/>
      <c r="G61" s="31"/>
      <c r="H61" s="30"/>
      <c r="I61" s="58"/>
      <c r="J61" s="30"/>
      <c r="K61" s="58"/>
      <c r="L61" s="30"/>
      <c r="M61" s="58"/>
      <c r="N61" s="30"/>
      <c r="O61" s="58"/>
      <c r="P61" s="30"/>
      <c r="Q61" s="58"/>
      <c r="R61" s="30"/>
      <c r="S61" s="58"/>
      <c r="T61" s="30"/>
      <c r="U61" s="58"/>
      <c r="V61" s="30"/>
      <c r="W61" s="58"/>
      <c r="X61" s="30"/>
      <c r="Y61" s="58"/>
      <c r="Z61" s="30"/>
      <c r="AA61" s="58"/>
      <c r="AB61" s="30"/>
      <c r="AC61" s="58"/>
      <c r="AD61" s="30"/>
      <c r="AE61" s="58"/>
      <c r="AF61" s="55">
        <v>30000</v>
      </c>
      <c r="AG61" s="12">
        <f>+F61++H61++J61++L61++N61++P61++R61++T61++V61++X61++Z61++AB61++AD61+0</f>
        <v>0</v>
      </c>
      <c r="AH61" s="11">
        <f>G61+I61+K61+M61+O61+Q61+S61+U61+W61+Y61+AA61+AC61+AE61+0</f>
        <v>0</v>
      </c>
      <c r="AI61" s="6"/>
    </row>
    <row r="62" spans="1:35" x14ac:dyDescent="0.2">
      <c r="A62" s="4"/>
      <c r="B62" s="17">
        <v>54</v>
      </c>
      <c r="C62" s="41" t="s">
        <v>132</v>
      </c>
      <c r="D62" s="53"/>
      <c r="E62" s="15" t="s">
        <v>133</v>
      </c>
      <c r="F62" s="30"/>
      <c r="G62" s="31"/>
      <c r="H62" s="30"/>
      <c r="I62" s="58"/>
      <c r="J62" s="30"/>
      <c r="K62" s="58"/>
      <c r="L62" s="30"/>
      <c r="M62" s="58"/>
      <c r="N62" s="30"/>
      <c r="O62" s="58"/>
      <c r="P62" s="30"/>
      <c r="Q62" s="58"/>
      <c r="R62" s="30"/>
      <c r="S62" s="58"/>
      <c r="T62" s="30"/>
      <c r="U62" s="58"/>
      <c r="V62" s="30"/>
      <c r="W62" s="58"/>
      <c r="X62" s="30"/>
      <c r="Y62" s="58"/>
      <c r="Z62" s="30"/>
      <c r="AA62" s="58"/>
      <c r="AB62" s="30"/>
      <c r="AC62" s="58"/>
      <c r="AD62" s="30"/>
      <c r="AE62" s="58"/>
      <c r="AF62" s="55">
        <v>100000</v>
      </c>
      <c r="AG62" s="12">
        <f>+F62++H62++J62++L62++N62++P62++R62++T62++V62++X62++Z62++AB62++AD62+0</f>
        <v>0</v>
      </c>
      <c r="AH62" s="11">
        <f>G62+I62+K62+M62+O62+Q62+S62+U62+W62+Y62+AA62+AC62+AE62+0</f>
        <v>0</v>
      </c>
      <c r="AI62" s="6"/>
    </row>
    <row r="63" spans="1:35" x14ac:dyDescent="0.2">
      <c r="A63" s="4"/>
      <c r="B63" s="17">
        <v>55</v>
      </c>
      <c r="C63" s="41" t="s">
        <v>134</v>
      </c>
      <c r="D63" s="53"/>
      <c r="E63" s="15" t="s">
        <v>135</v>
      </c>
      <c r="F63" s="30"/>
      <c r="G63" s="31"/>
      <c r="H63" s="30"/>
      <c r="I63" s="58"/>
      <c r="J63" s="30"/>
      <c r="K63" s="58"/>
      <c r="L63" s="30"/>
      <c r="M63" s="58"/>
      <c r="N63" s="30"/>
      <c r="O63" s="58"/>
      <c r="P63" s="30"/>
      <c r="Q63" s="58"/>
      <c r="R63" s="30"/>
      <c r="S63" s="58"/>
      <c r="T63" s="30"/>
      <c r="U63" s="58"/>
      <c r="V63" s="30"/>
      <c r="W63" s="58"/>
      <c r="X63" s="30"/>
      <c r="Y63" s="58"/>
      <c r="Z63" s="30"/>
      <c r="AA63" s="58"/>
      <c r="AB63" s="30"/>
      <c r="AC63" s="58"/>
      <c r="AD63" s="30"/>
      <c r="AE63" s="58"/>
      <c r="AF63" s="55">
        <v>12500</v>
      </c>
      <c r="AG63" s="12">
        <f>+F63++H63++J63++L63++N63++P63++R63++T63++V63++X63++Z63++AB63++AD63+0</f>
        <v>0</v>
      </c>
      <c r="AH63" s="11">
        <f>G63+I63+K63+M63+O63+Q63+S63+U63+W63+Y63+AA63+AC63+AE63+0</f>
        <v>0</v>
      </c>
      <c r="AI63" s="6"/>
    </row>
    <row r="64" spans="1:35" x14ac:dyDescent="0.2">
      <c r="A64" s="4"/>
      <c r="B64" s="17">
        <v>56</v>
      </c>
      <c r="C64" s="41" t="s">
        <v>136</v>
      </c>
      <c r="D64" s="53"/>
      <c r="E64" s="15" t="s">
        <v>137</v>
      </c>
      <c r="F64" s="30"/>
      <c r="G64" s="31"/>
      <c r="H64" s="30"/>
      <c r="I64" s="58"/>
      <c r="J64" s="30"/>
      <c r="K64" s="58"/>
      <c r="L64" s="30"/>
      <c r="M64" s="58"/>
      <c r="N64" s="30"/>
      <c r="O64" s="58"/>
      <c r="P64" s="30"/>
      <c r="Q64" s="58"/>
      <c r="R64" s="30"/>
      <c r="S64" s="58"/>
      <c r="T64" s="30"/>
      <c r="U64" s="58"/>
      <c r="V64" s="30"/>
      <c r="W64" s="58"/>
      <c r="X64" s="30"/>
      <c r="Y64" s="58"/>
      <c r="Z64" s="30"/>
      <c r="AA64" s="58"/>
      <c r="AB64" s="30"/>
      <c r="AC64" s="58"/>
      <c r="AD64" s="30"/>
      <c r="AE64" s="58"/>
      <c r="AF64" s="55">
        <v>80000</v>
      </c>
      <c r="AG64" s="12">
        <f>+F64++H64++J64++L64++N64++P64++R64++T64++V64++X64++Z64++AB64++AD64+0</f>
        <v>0</v>
      </c>
      <c r="AH64" s="11">
        <f>G64+I64+K64+M64+O64+Q64+S64+U64+W64+Y64+AA64+AC64+AE64+0</f>
        <v>0</v>
      </c>
      <c r="AI64" s="6"/>
    </row>
    <row r="65" spans="1:35" x14ac:dyDescent="0.2">
      <c r="A65" s="4"/>
      <c r="B65" s="17">
        <v>57</v>
      </c>
      <c r="C65" s="41" t="s">
        <v>138</v>
      </c>
      <c r="D65" s="53"/>
      <c r="E65" s="15" t="s">
        <v>139</v>
      </c>
      <c r="F65" s="30"/>
      <c r="G65" s="31"/>
      <c r="H65" s="30"/>
      <c r="I65" s="58"/>
      <c r="J65" s="30"/>
      <c r="K65" s="58"/>
      <c r="L65" s="30"/>
      <c r="M65" s="58"/>
      <c r="N65" s="30"/>
      <c r="O65" s="58"/>
      <c r="P65" s="30"/>
      <c r="Q65" s="58"/>
      <c r="R65" s="30"/>
      <c r="S65" s="58"/>
      <c r="T65" s="30"/>
      <c r="U65" s="58"/>
      <c r="V65" s="30"/>
      <c r="W65" s="58"/>
      <c r="X65" s="30"/>
      <c r="Y65" s="58"/>
      <c r="Z65" s="30"/>
      <c r="AA65" s="58"/>
      <c r="AB65" s="30"/>
      <c r="AC65" s="58"/>
      <c r="AD65" s="30"/>
      <c r="AE65" s="58"/>
      <c r="AF65" s="55">
        <v>270000</v>
      </c>
      <c r="AG65" s="12">
        <f>+F65++H65++J65++L65++N65++P65++R65++T65++V65++X65++Z65++AB65++AD65+0</f>
        <v>0</v>
      </c>
      <c r="AH65" s="11">
        <f>G65+I65+K65+M65+O65+Q65+S65+U65+W65+Y65+AA65+AC65+AE65+0</f>
        <v>0</v>
      </c>
      <c r="AI65" s="6"/>
    </row>
    <row r="66" spans="1:35" x14ac:dyDescent="0.2">
      <c r="A66" s="4"/>
      <c r="B66" s="17">
        <v>58</v>
      </c>
      <c r="C66" s="41" t="s">
        <v>140</v>
      </c>
      <c r="D66" s="53"/>
      <c r="E66" s="15" t="s">
        <v>141</v>
      </c>
      <c r="F66" s="30"/>
      <c r="G66" s="31"/>
      <c r="H66" s="30"/>
      <c r="I66" s="58"/>
      <c r="J66" s="30"/>
      <c r="K66" s="58"/>
      <c r="L66" s="30"/>
      <c r="M66" s="58"/>
      <c r="N66" s="30"/>
      <c r="O66" s="58"/>
      <c r="P66" s="30"/>
      <c r="Q66" s="58"/>
      <c r="R66" s="30"/>
      <c r="S66" s="58"/>
      <c r="T66" s="30"/>
      <c r="U66" s="58"/>
      <c r="V66" s="30"/>
      <c r="W66" s="58"/>
      <c r="X66" s="30"/>
      <c r="Y66" s="58"/>
      <c r="Z66" s="30"/>
      <c r="AA66" s="58"/>
      <c r="AB66" s="30"/>
      <c r="AC66" s="58"/>
      <c r="AD66" s="30"/>
      <c r="AE66" s="58"/>
      <c r="AF66" s="55">
        <v>35000</v>
      </c>
      <c r="AG66" s="12">
        <f>+F66++H66++J66++L66++N66++P66++R66++T66++V66++X66++Z66++AB66++AD66+0</f>
        <v>0</v>
      </c>
      <c r="AH66" s="11">
        <f>G66+I66+K66+M66+O66+Q66+S66+U66+W66+Y66+AA66+AC66+AE66+0</f>
        <v>0</v>
      </c>
      <c r="AI66" s="6"/>
    </row>
    <row r="67" spans="1:35" x14ac:dyDescent="0.2">
      <c r="A67" s="4"/>
      <c r="B67" s="17">
        <v>59</v>
      </c>
      <c r="C67" s="41" t="s">
        <v>142</v>
      </c>
      <c r="D67" s="53"/>
      <c r="E67" s="15" t="s">
        <v>143</v>
      </c>
      <c r="F67" s="30"/>
      <c r="G67" s="31"/>
      <c r="H67" s="30"/>
      <c r="I67" s="58"/>
      <c r="J67" s="30"/>
      <c r="K67" s="58"/>
      <c r="L67" s="30"/>
      <c r="M67" s="58"/>
      <c r="N67" s="30"/>
      <c r="O67" s="58"/>
      <c r="P67" s="30"/>
      <c r="Q67" s="58"/>
      <c r="R67" s="30"/>
      <c r="S67" s="58"/>
      <c r="T67" s="30"/>
      <c r="U67" s="58"/>
      <c r="V67" s="30"/>
      <c r="W67" s="58"/>
      <c r="X67" s="30"/>
      <c r="Y67" s="58"/>
      <c r="Z67" s="30"/>
      <c r="AA67" s="58"/>
      <c r="AB67" s="30"/>
      <c r="AC67" s="58"/>
      <c r="AD67" s="30"/>
      <c r="AE67" s="58"/>
      <c r="AF67" s="55">
        <v>15000</v>
      </c>
      <c r="AG67" s="12">
        <f>+F67++H67++J67++L67++N67++P67++R67++T67++V67++X67++Z67++AB67++AD67+0</f>
        <v>0</v>
      </c>
      <c r="AH67" s="11">
        <f>G67+I67+K67+M67+O67+Q67+S67+U67+W67+Y67+AA67+AC67+AE67+0</f>
        <v>0</v>
      </c>
      <c r="AI67" s="6"/>
    </row>
    <row r="68" spans="1:35" x14ac:dyDescent="0.2">
      <c r="A68" s="4"/>
      <c r="B68" s="17">
        <v>60</v>
      </c>
      <c r="C68" s="41" t="s">
        <v>144</v>
      </c>
      <c r="D68" s="53"/>
      <c r="E68" s="15" t="s">
        <v>145</v>
      </c>
      <c r="F68" s="30"/>
      <c r="G68" s="31"/>
      <c r="H68" s="30"/>
      <c r="I68" s="58"/>
      <c r="J68" s="30"/>
      <c r="K68" s="58"/>
      <c r="L68" s="30"/>
      <c r="M68" s="58"/>
      <c r="N68" s="30"/>
      <c r="O68" s="58"/>
      <c r="P68" s="30"/>
      <c r="Q68" s="58"/>
      <c r="R68" s="30"/>
      <c r="S68" s="58"/>
      <c r="T68" s="30"/>
      <c r="U68" s="58"/>
      <c r="V68" s="30"/>
      <c r="W68" s="58"/>
      <c r="X68" s="30"/>
      <c r="Y68" s="58"/>
      <c r="Z68" s="30"/>
      <c r="AA68" s="58"/>
      <c r="AB68" s="30"/>
      <c r="AC68" s="58"/>
      <c r="AD68" s="30"/>
      <c r="AE68" s="58"/>
      <c r="AF68" s="55">
        <v>50000</v>
      </c>
      <c r="AG68" s="12">
        <f>+F68++H68++J68++L68++N68++P68++R68++T68++V68++X68++Z68++AB68++AD68+0</f>
        <v>0</v>
      </c>
      <c r="AH68" s="11">
        <f>G68+I68+K68+M68+O68+Q68+S68+U68+W68+Y68+AA68+AC68+AE68+0</f>
        <v>0</v>
      </c>
      <c r="AI68" s="6"/>
    </row>
    <row r="69" spans="1:35" x14ac:dyDescent="0.2">
      <c r="A69" s="4"/>
      <c r="B69" s="17">
        <v>61</v>
      </c>
      <c r="C69" s="41" t="s">
        <v>146</v>
      </c>
      <c r="D69" s="53"/>
      <c r="E69" s="15" t="s">
        <v>147</v>
      </c>
      <c r="F69" s="30"/>
      <c r="G69" s="31"/>
      <c r="H69" s="30"/>
      <c r="I69" s="58"/>
      <c r="J69" s="30"/>
      <c r="K69" s="58"/>
      <c r="L69" s="30"/>
      <c r="M69" s="58"/>
      <c r="N69" s="30"/>
      <c r="O69" s="58"/>
      <c r="P69" s="30"/>
      <c r="Q69" s="58"/>
      <c r="R69" s="30"/>
      <c r="S69" s="58"/>
      <c r="T69" s="30"/>
      <c r="U69" s="58"/>
      <c r="V69" s="30"/>
      <c r="W69" s="58"/>
      <c r="X69" s="30"/>
      <c r="Y69" s="58"/>
      <c r="Z69" s="30"/>
      <c r="AA69" s="58"/>
      <c r="AB69" s="30"/>
      <c r="AC69" s="58"/>
      <c r="AD69" s="30"/>
      <c r="AE69" s="58"/>
      <c r="AF69" s="55">
        <v>15000</v>
      </c>
      <c r="AG69" s="12">
        <f>+F69++H69++J69++L69++N69++P69++R69++T69++V69++X69++Z69++AB69++AD69+0</f>
        <v>0</v>
      </c>
      <c r="AH69" s="11">
        <f>G69+I69+K69+M69+O69+Q69+S69+U69+W69+Y69+AA69+AC69+AE69+0</f>
        <v>0</v>
      </c>
      <c r="AI69" s="6"/>
    </row>
    <row r="70" spans="1:35" x14ac:dyDescent="0.2">
      <c r="A70" s="4"/>
      <c r="B70" s="17">
        <v>62</v>
      </c>
      <c r="C70" s="41" t="s">
        <v>148</v>
      </c>
      <c r="D70" s="53"/>
      <c r="E70" s="15" t="s">
        <v>149</v>
      </c>
      <c r="F70" s="30"/>
      <c r="G70" s="31"/>
      <c r="H70" s="30"/>
      <c r="I70" s="58"/>
      <c r="J70" s="30"/>
      <c r="K70" s="58"/>
      <c r="L70" s="30"/>
      <c r="M70" s="58"/>
      <c r="N70" s="30"/>
      <c r="O70" s="58"/>
      <c r="P70" s="30"/>
      <c r="Q70" s="58"/>
      <c r="R70" s="30"/>
      <c r="S70" s="58"/>
      <c r="T70" s="30"/>
      <c r="U70" s="58"/>
      <c r="V70" s="30"/>
      <c r="W70" s="58"/>
      <c r="X70" s="30"/>
      <c r="Y70" s="58"/>
      <c r="Z70" s="30"/>
      <c r="AA70" s="58"/>
      <c r="AB70" s="30"/>
      <c r="AC70" s="58"/>
      <c r="AD70" s="30"/>
      <c r="AE70" s="58"/>
      <c r="AF70" s="55">
        <v>10000</v>
      </c>
      <c r="AG70" s="12">
        <f>+F70++H70++J70++L70++N70++P70++R70++T70++V70++X70++Z70++AB70++AD70+0</f>
        <v>0</v>
      </c>
      <c r="AH70" s="11">
        <f>G70+I70+K70+M70+O70+Q70+S70+U70+W70+Y70+AA70+AC70+AE70+0</f>
        <v>0</v>
      </c>
      <c r="AI70" s="6"/>
    </row>
    <row r="71" spans="1:35" x14ac:dyDescent="0.2">
      <c r="A71" s="4"/>
      <c r="B71" s="17">
        <v>63</v>
      </c>
      <c r="C71" s="41" t="s">
        <v>150</v>
      </c>
      <c r="D71" s="53"/>
      <c r="E71" s="15" t="s">
        <v>151</v>
      </c>
      <c r="F71" s="30"/>
      <c r="G71" s="31"/>
      <c r="H71" s="30"/>
      <c r="I71" s="58"/>
      <c r="J71" s="30"/>
      <c r="K71" s="58"/>
      <c r="L71" s="30"/>
      <c r="M71" s="58"/>
      <c r="N71" s="30"/>
      <c r="O71" s="58"/>
      <c r="P71" s="30"/>
      <c r="Q71" s="58"/>
      <c r="R71" s="30"/>
      <c r="S71" s="58"/>
      <c r="T71" s="30"/>
      <c r="U71" s="58"/>
      <c r="V71" s="30"/>
      <c r="W71" s="58"/>
      <c r="X71" s="30"/>
      <c r="Y71" s="58"/>
      <c r="Z71" s="30"/>
      <c r="AA71" s="58"/>
      <c r="AB71" s="30"/>
      <c r="AC71" s="58"/>
      <c r="AD71" s="30"/>
      <c r="AE71" s="58"/>
      <c r="AF71" s="55">
        <v>30000</v>
      </c>
      <c r="AG71" s="12">
        <f>+F71++H71++J71++L71++N71++P71++R71++T71++V71++X71++Z71++AB71++AD71+0</f>
        <v>0</v>
      </c>
      <c r="AH71" s="11">
        <f>G71+I71+K71+M71+O71+Q71+S71+U71+W71+Y71+AA71+AC71+AE71+0</f>
        <v>0</v>
      </c>
      <c r="AI71" s="6"/>
    </row>
    <row r="72" spans="1:35" x14ac:dyDescent="0.2">
      <c r="A72" s="4"/>
      <c r="B72" s="17">
        <v>64</v>
      </c>
      <c r="C72" s="41" t="s">
        <v>152</v>
      </c>
      <c r="D72" s="53"/>
      <c r="E72" s="15" t="s">
        <v>153</v>
      </c>
      <c r="F72" s="30"/>
      <c r="G72" s="31"/>
      <c r="H72" s="30"/>
      <c r="I72" s="58"/>
      <c r="J72" s="30"/>
      <c r="K72" s="58"/>
      <c r="L72" s="30"/>
      <c r="M72" s="58"/>
      <c r="N72" s="30"/>
      <c r="O72" s="58"/>
      <c r="P72" s="30"/>
      <c r="Q72" s="58"/>
      <c r="R72" s="30"/>
      <c r="S72" s="58"/>
      <c r="T72" s="30"/>
      <c r="U72" s="58"/>
      <c r="V72" s="30"/>
      <c r="W72" s="58"/>
      <c r="X72" s="30"/>
      <c r="Y72" s="58"/>
      <c r="Z72" s="30"/>
      <c r="AA72" s="58"/>
      <c r="AB72" s="30"/>
      <c r="AC72" s="58"/>
      <c r="AD72" s="30"/>
      <c r="AE72" s="58"/>
      <c r="AF72" s="55">
        <v>50000</v>
      </c>
      <c r="AG72" s="12">
        <f>+F72++H72++J72++L72++N72++P72++R72++T72++V72++X72++Z72++AB72++AD72+0</f>
        <v>0</v>
      </c>
      <c r="AH72" s="11">
        <f>G72+I72+K72+M72+O72+Q72+S72+U72+W72+Y72+AA72+AC72+AE72+0</f>
        <v>0</v>
      </c>
      <c r="AI72" s="6"/>
    </row>
    <row r="73" spans="1:35" x14ac:dyDescent="0.2">
      <c r="A73" s="4"/>
      <c r="B73" s="17">
        <v>65</v>
      </c>
      <c r="C73" s="41" t="s">
        <v>154</v>
      </c>
      <c r="D73" s="53"/>
      <c r="E73" s="15" t="s">
        <v>155</v>
      </c>
      <c r="F73" s="30"/>
      <c r="G73" s="31"/>
      <c r="H73" s="30"/>
      <c r="I73" s="58"/>
      <c r="J73" s="30"/>
      <c r="K73" s="58"/>
      <c r="L73" s="30"/>
      <c r="M73" s="58"/>
      <c r="N73" s="30"/>
      <c r="O73" s="58"/>
      <c r="P73" s="30"/>
      <c r="Q73" s="58"/>
      <c r="R73" s="30"/>
      <c r="S73" s="58"/>
      <c r="T73" s="30"/>
      <c r="U73" s="58"/>
      <c r="V73" s="30"/>
      <c r="W73" s="58"/>
      <c r="X73" s="30"/>
      <c r="Y73" s="58"/>
      <c r="Z73" s="30"/>
      <c r="AA73" s="58"/>
      <c r="AB73" s="30"/>
      <c r="AC73" s="58"/>
      <c r="AD73" s="30"/>
      <c r="AE73" s="58"/>
      <c r="AF73" s="55">
        <v>85000</v>
      </c>
      <c r="AG73" s="12">
        <f>+F73++H73++J73++L73++N73++P73++R73++T73++V73++X73++Z73++AB73++AD73+0</f>
        <v>0</v>
      </c>
      <c r="AH73" s="11">
        <f>G73+I73+K73+M73+O73+Q73+S73+U73+W73+Y73+AA73+AC73+AE73+0</f>
        <v>0</v>
      </c>
      <c r="AI73" s="6"/>
    </row>
    <row r="74" spans="1:35" x14ac:dyDescent="0.2">
      <c r="A74" s="4"/>
      <c r="B74" s="17">
        <v>66</v>
      </c>
      <c r="C74" s="41" t="s">
        <v>156</v>
      </c>
      <c r="D74" s="53"/>
      <c r="E74" s="15" t="s">
        <v>157</v>
      </c>
      <c r="F74" s="30"/>
      <c r="G74" s="31"/>
      <c r="H74" s="30"/>
      <c r="I74" s="58"/>
      <c r="J74" s="30"/>
      <c r="K74" s="58"/>
      <c r="L74" s="30"/>
      <c r="M74" s="58"/>
      <c r="N74" s="30"/>
      <c r="O74" s="58"/>
      <c r="P74" s="30"/>
      <c r="Q74" s="58"/>
      <c r="R74" s="30"/>
      <c r="S74" s="58"/>
      <c r="T74" s="30"/>
      <c r="U74" s="58"/>
      <c r="V74" s="30"/>
      <c r="W74" s="58"/>
      <c r="X74" s="30"/>
      <c r="Y74" s="58"/>
      <c r="Z74" s="30"/>
      <c r="AA74" s="58"/>
      <c r="AB74" s="30"/>
      <c r="AC74" s="58"/>
      <c r="AD74" s="30"/>
      <c r="AE74" s="58"/>
      <c r="AF74" s="55">
        <v>50000</v>
      </c>
      <c r="AG74" s="12">
        <f>+F74++H74++J74++L74++N74++P74++R74++T74++V74++X74++Z74++AB74++AD74+0</f>
        <v>0</v>
      </c>
      <c r="AH74" s="11">
        <f>G74+I74+K74+M74+O74+Q74+S74+U74+W74+Y74+AA74+AC74+AE74+0</f>
        <v>0</v>
      </c>
      <c r="AI74" s="6"/>
    </row>
    <row r="75" spans="1:35" x14ac:dyDescent="0.2">
      <c r="A75" s="4"/>
      <c r="B75" s="17">
        <v>67</v>
      </c>
      <c r="C75" s="41" t="s">
        <v>158</v>
      </c>
      <c r="D75" s="53"/>
      <c r="E75" s="15" t="s">
        <v>159</v>
      </c>
      <c r="F75" s="30"/>
      <c r="G75" s="31"/>
      <c r="H75" s="30"/>
      <c r="I75" s="58"/>
      <c r="J75" s="30"/>
      <c r="K75" s="58"/>
      <c r="L75" s="30"/>
      <c r="M75" s="58"/>
      <c r="N75" s="30"/>
      <c r="O75" s="58"/>
      <c r="P75" s="30"/>
      <c r="Q75" s="58"/>
      <c r="R75" s="30"/>
      <c r="S75" s="58"/>
      <c r="T75" s="30"/>
      <c r="U75" s="58"/>
      <c r="V75" s="30"/>
      <c r="W75" s="58"/>
      <c r="X75" s="30"/>
      <c r="Y75" s="58"/>
      <c r="Z75" s="30"/>
      <c r="AA75" s="58"/>
      <c r="AB75" s="30"/>
      <c r="AC75" s="58"/>
      <c r="AD75" s="30"/>
      <c r="AE75" s="58"/>
      <c r="AF75" s="55">
        <v>30000</v>
      </c>
      <c r="AG75" s="12">
        <f>+F75++H75++J75++L75++N75++P75++R75++T75++V75++X75++Z75++AB75++AD75+0</f>
        <v>0</v>
      </c>
      <c r="AH75" s="11">
        <f>G75+I75+K75+M75+O75+Q75+S75+U75+W75+Y75+AA75+AC75+AE75+0</f>
        <v>0</v>
      </c>
      <c r="AI75" s="6"/>
    </row>
    <row r="76" spans="1:35" x14ac:dyDescent="0.2">
      <c r="A76" s="4"/>
      <c r="B76" s="17">
        <v>68</v>
      </c>
      <c r="C76" s="41" t="s">
        <v>160</v>
      </c>
      <c r="D76" s="53"/>
      <c r="E76" s="15" t="s">
        <v>161</v>
      </c>
      <c r="F76" s="30"/>
      <c r="G76" s="31"/>
      <c r="H76" s="30"/>
      <c r="I76" s="58"/>
      <c r="J76" s="30"/>
      <c r="K76" s="58"/>
      <c r="L76" s="30"/>
      <c r="M76" s="58"/>
      <c r="N76" s="30"/>
      <c r="O76" s="58"/>
      <c r="P76" s="30"/>
      <c r="Q76" s="58"/>
      <c r="R76" s="30"/>
      <c r="S76" s="58"/>
      <c r="T76" s="30"/>
      <c r="U76" s="58"/>
      <c r="V76" s="30"/>
      <c r="W76" s="58"/>
      <c r="X76" s="30"/>
      <c r="Y76" s="58"/>
      <c r="Z76" s="30"/>
      <c r="AA76" s="58"/>
      <c r="AB76" s="30"/>
      <c r="AC76" s="58"/>
      <c r="AD76" s="30"/>
      <c r="AE76" s="58"/>
      <c r="AF76" s="55">
        <v>80000</v>
      </c>
      <c r="AG76" s="12">
        <f>+F76++H76++J76++L76++N76++P76++R76++T76++V76++X76++Z76++AB76++AD76+0</f>
        <v>0</v>
      </c>
      <c r="AH76" s="11">
        <f>G76+I76+K76+M76+O76+Q76+S76+U76+W76+Y76+AA76+AC76+AE76+0</f>
        <v>0</v>
      </c>
      <c r="AI76" s="6"/>
    </row>
    <row r="77" spans="1:35" x14ac:dyDescent="0.2">
      <c r="A77" s="4"/>
      <c r="B77" s="17">
        <v>69</v>
      </c>
      <c r="C77" s="41" t="s">
        <v>162</v>
      </c>
      <c r="D77" s="53"/>
      <c r="E77" s="15" t="s">
        <v>163</v>
      </c>
      <c r="F77" s="30"/>
      <c r="G77" s="31"/>
      <c r="H77" s="30"/>
      <c r="I77" s="58"/>
      <c r="J77" s="30"/>
      <c r="K77" s="58"/>
      <c r="L77" s="30"/>
      <c r="M77" s="58"/>
      <c r="N77" s="30"/>
      <c r="O77" s="58"/>
      <c r="P77" s="30"/>
      <c r="Q77" s="58"/>
      <c r="R77" s="30"/>
      <c r="S77" s="58"/>
      <c r="T77" s="30"/>
      <c r="U77" s="58"/>
      <c r="V77" s="30"/>
      <c r="W77" s="58"/>
      <c r="X77" s="30"/>
      <c r="Y77" s="58"/>
      <c r="Z77" s="30"/>
      <c r="AA77" s="58"/>
      <c r="AB77" s="30"/>
      <c r="AC77" s="58"/>
      <c r="AD77" s="30"/>
      <c r="AE77" s="58"/>
      <c r="AF77" s="55">
        <v>350000</v>
      </c>
      <c r="AG77" s="12">
        <f>+F77++H77++J77++L77++N77++P77++R77++T77++V77++X77++Z77++AB77++AD77+0</f>
        <v>0</v>
      </c>
      <c r="AH77" s="11">
        <f>G77+I77+K77+M77+O77+Q77+S77+U77+W77+Y77+AA77+AC77+AE77+0</f>
        <v>0</v>
      </c>
      <c r="AI77" s="6"/>
    </row>
    <row r="78" spans="1:35" x14ac:dyDescent="0.2">
      <c r="A78" s="4"/>
      <c r="B78" s="17">
        <v>70</v>
      </c>
      <c r="C78" s="41" t="s">
        <v>164</v>
      </c>
      <c r="D78" s="53"/>
      <c r="E78" s="15" t="s">
        <v>165</v>
      </c>
      <c r="F78" s="30"/>
      <c r="G78" s="31"/>
      <c r="H78" s="30"/>
      <c r="I78" s="58"/>
      <c r="J78" s="30"/>
      <c r="K78" s="58"/>
      <c r="L78" s="30"/>
      <c r="M78" s="58"/>
      <c r="N78" s="30"/>
      <c r="O78" s="58"/>
      <c r="P78" s="30"/>
      <c r="Q78" s="58"/>
      <c r="R78" s="30"/>
      <c r="S78" s="58"/>
      <c r="T78" s="30"/>
      <c r="U78" s="58"/>
      <c r="V78" s="30"/>
      <c r="W78" s="58"/>
      <c r="X78" s="30"/>
      <c r="Y78" s="58"/>
      <c r="Z78" s="30"/>
      <c r="AA78" s="58"/>
      <c r="AB78" s="30"/>
      <c r="AC78" s="58"/>
      <c r="AD78" s="30"/>
      <c r="AE78" s="58"/>
      <c r="AF78" s="55">
        <v>50000</v>
      </c>
      <c r="AG78" s="12">
        <f>+F78++H78++J78++L78++N78++P78++R78++T78++V78++X78++Z78++AB78++AD78+0</f>
        <v>0</v>
      </c>
      <c r="AH78" s="11">
        <f>G78+I78+K78+M78+O78+Q78+S78+U78+W78+Y78+AA78+AC78+AE78+0</f>
        <v>0</v>
      </c>
      <c r="AI78" s="6"/>
    </row>
    <row r="79" spans="1:35" x14ac:dyDescent="0.2">
      <c r="A79" s="4"/>
      <c r="B79" s="17">
        <v>71</v>
      </c>
      <c r="C79" s="41" t="s">
        <v>166</v>
      </c>
      <c r="D79" s="53"/>
      <c r="E79" s="15" t="s">
        <v>167</v>
      </c>
      <c r="F79" s="30"/>
      <c r="G79" s="31"/>
      <c r="H79" s="30"/>
      <c r="I79" s="58"/>
      <c r="J79" s="30"/>
      <c r="K79" s="58"/>
      <c r="L79" s="30"/>
      <c r="M79" s="58"/>
      <c r="N79" s="30"/>
      <c r="O79" s="58"/>
      <c r="P79" s="30"/>
      <c r="Q79" s="58"/>
      <c r="R79" s="30"/>
      <c r="S79" s="58"/>
      <c r="T79" s="30"/>
      <c r="U79" s="58"/>
      <c r="V79" s="30"/>
      <c r="W79" s="58"/>
      <c r="X79" s="30"/>
      <c r="Y79" s="58"/>
      <c r="Z79" s="30"/>
      <c r="AA79" s="58"/>
      <c r="AB79" s="30"/>
      <c r="AC79" s="58"/>
      <c r="AD79" s="30"/>
      <c r="AE79" s="58"/>
      <c r="AF79" s="55">
        <v>40000</v>
      </c>
      <c r="AG79" s="12">
        <f>+F79++H79++J79++L79++N79++P79++R79++T79++V79++X79++Z79++AB79++AD79+0</f>
        <v>0</v>
      </c>
      <c r="AH79" s="11">
        <f>G79+I79+K79+M79+O79+Q79+S79+U79+W79+Y79+AA79+AC79+AE79+0</f>
        <v>0</v>
      </c>
      <c r="AI79" s="6"/>
    </row>
    <row r="80" spans="1:35" x14ac:dyDescent="0.2">
      <c r="A80" s="4"/>
      <c r="B80" s="17">
        <v>72</v>
      </c>
      <c r="C80" s="41" t="s">
        <v>168</v>
      </c>
      <c r="D80" s="53"/>
      <c r="E80" s="15" t="s">
        <v>169</v>
      </c>
      <c r="F80" s="30"/>
      <c r="G80" s="31"/>
      <c r="H80" s="30"/>
      <c r="I80" s="58"/>
      <c r="J80" s="30"/>
      <c r="K80" s="58"/>
      <c r="L80" s="30"/>
      <c r="M80" s="58"/>
      <c r="N80" s="30"/>
      <c r="O80" s="58"/>
      <c r="P80" s="30"/>
      <c r="Q80" s="58"/>
      <c r="R80" s="30"/>
      <c r="S80" s="58"/>
      <c r="T80" s="30"/>
      <c r="U80" s="58"/>
      <c r="V80" s="30"/>
      <c r="W80" s="58"/>
      <c r="X80" s="30"/>
      <c r="Y80" s="58"/>
      <c r="Z80" s="30"/>
      <c r="AA80" s="58"/>
      <c r="AB80" s="30"/>
      <c r="AC80" s="58"/>
      <c r="AD80" s="30"/>
      <c r="AE80" s="58"/>
      <c r="AF80" s="55">
        <v>30000</v>
      </c>
      <c r="AG80" s="12">
        <f>+F80++H80++J80++L80++N80++P80++R80++T80++V80++X80++Z80++AB80++AD80+0</f>
        <v>0</v>
      </c>
      <c r="AH80" s="11">
        <f>G80+I80+K80+M80+O80+Q80+S80+U80+W80+Y80+AA80+AC80+AE80+0</f>
        <v>0</v>
      </c>
      <c r="AI80" s="6"/>
    </row>
    <row r="81" spans="1:35" x14ac:dyDescent="0.2">
      <c r="A81" s="4"/>
      <c r="B81" s="17">
        <v>73</v>
      </c>
      <c r="C81" s="41" t="s">
        <v>170</v>
      </c>
      <c r="D81" s="53"/>
      <c r="E81" s="15" t="s">
        <v>171</v>
      </c>
      <c r="F81" s="30"/>
      <c r="G81" s="31"/>
      <c r="H81" s="30"/>
      <c r="I81" s="58"/>
      <c r="J81" s="30"/>
      <c r="K81" s="58"/>
      <c r="L81" s="30"/>
      <c r="M81" s="58"/>
      <c r="N81" s="30"/>
      <c r="O81" s="58"/>
      <c r="P81" s="30"/>
      <c r="Q81" s="58"/>
      <c r="R81" s="30"/>
      <c r="S81" s="58"/>
      <c r="T81" s="30"/>
      <c r="U81" s="58"/>
      <c r="V81" s="30"/>
      <c r="W81" s="58"/>
      <c r="X81" s="30"/>
      <c r="Y81" s="58"/>
      <c r="Z81" s="30"/>
      <c r="AA81" s="58"/>
      <c r="AB81" s="30"/>
      <c r="AC81" s="58"/>
      <c r="AD81" s="30"/>
      <c r="AE81" s="58"/>
      <c r="AF81" s="55">
        <v>100000</v>
      </c>
      <c r="AG81" s="12">
        <f>+F81++H81++J81++L81++N81++P81++R81++T81++V81++X81++Z81++AB81++AD81+0</f>
        <v>0</v>
      </c>
      <c r="AH81" s="11">
        <f>G81+I81+K81+M81+O81+Q81+S81+U81+W81+Y81+AA81+AC81+AE81+0</f>
        <v>0</v>
      </c>
      <c r="AI81" s="6"/>
    </row>
    <row r="82" spans="1:35" x14ac:dyDescent="0.2">
      <c r="A82" s="4"/>
      <c r="B82" s="17">
        <v>74</v>
      </c>
      <c r="C82" s="41" t="s">
        <v>172</v>
      </c>
      <c r="D82" s="53"/>
      <c r="E82" s="15" t="s">
        <v>173</v>
      </c>
      <c r="F82" s="30"/>
      <c r="G82" s="31"/>
      <c r="H82" s="30"/>
      <c r="I82" s="58"/>
      <c r="J82" s="30"/>
      <c r="K82" s="58"/>
      <c r="L82" s="30"/>
      <c r="M82" s="58"/>
      <c r="N82" s="30"/>
      <c r="O82" s="58"/>
      <c r="P82" s="30"/>
      <c r="Q82" s="58"/>
      <c r="R82" s="30"/>
      <c r="S82" s="58"/>
      <c r="T82" s="30"/>
      <c r="U82" s="58"/>
      <c r="V82" s="30"/>
      <c r="W82" s="58"/>
      <c r="X82" s="30"/>
      <c r="Y82" s="58"/>
      <c r="Z82" s="30"/>
      <c r="AA82" s="58"/>
      <c r="AB82" s="30"/>
      <c r="AC82" s="58"/>
      <c r="AD82" s="30"/>
      <c r="AE82" s="58"/>
      <c r="AF82" s="55">
        <v>20000</v>
      </c>
      <c r="AG82" s="12">
        <f>+F82++H82++J82++L82++N82++P82++R82++T82++V82++X82++Z82++AB82++AD82+0</f>
        <v>0</v>
      </c>
      <c r="AH82" s="11">
        <f>G82+I82+K82+M82+O82+Q82+S82+U82+W82+Y82+AA82+AC82+AE82+0</f>
        <v>0</v>
      </c>
      <c r="AI82" s="6"/>
    </row>
    <row r="83" spans="1:35" x14ac:dyDescent="0.2">
      <c r="A83" s="4"/>
      <c r="B83" s="17">
        <v>75</v>
      </c>
      <c r="C83" s="41" t="s">
        <v>174</v>
      </c>
      <c r="D83" s="53"/>
      <c r="E83" s="15" t="s">
        <v>175</v>
      </c>
      <c r="F83" s="30"/>
      <c r="G83" s="31"/>
      <c r="H83" s="30"/>
      <c r="I83" s="58"/>
      <c r="J83" s="30"/>
      <c r="K83" s="58"/>
      <c r="L83" s="30"/>
      <c r="M83" s="58"/>
      <c r="N83" s="30"/>
      <c r="O83" s="58"/>
      <c r="P83" s="30"/>
      <c r="Q83" s="58"/>
      <c r="R83" s="30"/>
      <c r="S83" s="58"/>
      <c r="T83" s="30"/>
      <c r="U83" s="58"/>
      <c r="V83" s="30"/>
      <c r="W83" s="58"/>
      <c r="X83" s="30"/>
      <c r="Y83" s="58"/>
      <c r="Z83" s="30"/>
      <c r="AA83" s="58"/>
      <c r="AB83" s="30"/>
      <c r="AC83" s="58"/>
      <c r="AD83" s="30"/>
      <c r="AE83" s="58"/>
      <c r="AF83" s="55">
        <v>25000</v>
      </c>
      <c r="AG83" s="12">
        <f>+F83++H83++J83++L83++N83++P83++R83++T83++V83++X83++Z83++AB83++AD83+0</f>
        <v>0</v>
      </c>
      <c r="AH83" s="11">
        <f>G83+I83+K83+M83+O83+Q83+S83+U83+W83+Y83+AA83+AC83+AE83+0</f>
        <v>0</v>
      </c>
      <c r="AI83" s="6"/>
    </row>
    <row r="84" spans="1:35" x14ac:dyDescent="0.2">
      <c r="A84" s="4"/>
      <c r="B84" s="17">
        <v>76</v>
      </c>
      <c r="C84" s="41" t="s">
        <v>176</v>
      </c>
      <c r="D84" s="53"/>
      <c r="E84" s="15" t="s">
        <v>177</v>
      </c>
      <c r="F84" s="30"/>
      <c r="G84" s="31"/>
      <c r="H84" s="30"/>
      <c r="I84" s="58"/>
      <c r="J84" s="30"/>
      <c r="K84" s="58"/>
      <c r="L84" s="30"/>
      <c r="M84" s="58"/>
      <c r="N84" s="30"/>
      <c r="O84" s="58"/>
      <c r="P84" s="30"/>
      <c r="Q84" s="58"/>
      <c r="R84" s="30"/>
      <c r="S84" s="58"/>
      <c r="T84" s="30"/>
      <c r="U84" s="58"/>
      <c r="V84" s="30"/>
      <c r="W84" s="58"/>
      <c r="X84" s="30"/>
      <c r="Y84" s="58"/>
      <c r="Z84" s="30"/>
      <c r="AA84" s="58"/>
      <c r="AB84" s="30"/>
      <c r="AC84" s="58"/>
      <c r="AD84" s="30"/>
      <c r="AE84" s="58"/>
      <c r="AF84" s="55">
        <v>300000</v>
      </c>
      <c r="AG84" s="12">
        <f>+F84++H84++J84++L84++N84++P84++R84++T84++V84++X84++Z84++AB84++AD84+0</f>
        <v>0</v>
      </c>
      <c r="AH84" s="11">
        <f>G84+I84+K84+M84+O84+Q84+S84+U84+W84+Y84+AA84+AC84+AE84+0</f>
        <v>0</v>
      </c>
      <c r="AI84" s="6"/>
    </row>
    <row r="85" spans="1:35" x14ac:dyDescent="0.2">
      <c r="A85" s="4"/>
      <c r="B85" s="17">
        <v>77</v>
      </c>
      <c r="C85" s="41" t="s">
        <v>178</v>
      </c>
      <c r="D85" s="53"/>
      <c r="E85" s="15" t="s">
        <v>179</v>
      </c>
      <c r="F85" s="30"/>
      <c r="G85" s="31"/>
      <c r="H85" s="30"/>
      <c r="I85" s="58"/>
      <c r="J85" s="30"/>
      <c r="K85" s="58"/>
      <c r="L85" s="30"/>
      <c r="M85" s="58"/>
      <c r="N85" s="30"/>
      <c r="O85" s="58"/>
      <c r="P85" s="30"/>
      <c r="Q85" s="58"/>
      <c r="R85" s="30"/>
      <c r="S85" s="58"/>
      <c r="T85" s="30"/>
      <c r="U85" s="58"/>
      <c r="V85" s="30"/>
      <c r="W85" s="58"/>
      <c r="X85" s="30"/>
      <c r="Y85" s="58"/>
      <c r="Z85" s="30"/>
      <c r="AA85" s="58"/>
      <c r="AB85" s="30"/>
      <c r="AC85" s="58"/>
      <c r="AD85" s="30"/>
      <c r="AE85" s="58"/>
      <c r="AF85" s="55">
        <v>10000</v>
      </c>
      <c r="AG85" s="12">
        <f>+F85++H85++J85++L85++N85++P85++R85++T85++V85++X85++Z85++AB85++AD85+0</f>
        <v>0</v>
      </c>
      <c r="AH85" s="11">
        <f>G85+I85+K85+M85+O85+Q85+S85+U85+W85+Y85+AA85+AC85+AE85+0</f>
        <v>0</v>
      </c>
      <c r="AI85" s="6"/>
    </row>
    <row r="86" spans="1:35" x14ac:dyDescent="0.2">
      <c r="A86" s="4"/>
      <c r="B86" s="17">
        <v>78</v>
      </c>
      <c r="C86" s="41" t="s">
        <v>180</v>
      </c>
      <c r="D86" s="53"/>
      <c r="E86" s="15" t="s">
        <v>181</v>
      </c>
      <c r="F86" s="30"/>
      <c r="G86" s="31"/>
      <c r="H86" s="30"/>
      <c r="I86" s="58"/>
      <c r="J86" s="30"/>
      <c r="K86" s="58"/>
      <c r="L86" s="30"/>
      <c r="M86" s="58"/>
      <c r="N86" s="30"/>
      <c r="O86" s="58"/>
      <c r="P86" s="30"/>
      <c r="Q86" s="58"/>
      <c r="R86" s="30"/>
      <c r="S86" s="58"/>
      <c r="T86" s="30"/>
      <c r="U86" s="58"/>
      <c r="V86" s="30"/>
      <c r="W86" s="58"/>
      <c r="X86" s="30"/>
      <c r="Y86" s="58"/>
      <c r="Z86" s="30"/>
      <c r="AA86" s="58"/>
      <c r="AB86" s="30"/>
      <c r="AC86" s="58"/>
      <c r="AD86" s="30"/>
      <c r="AE86" s="58"/>
      <c r="AF86" s="55">
        <v>40000</v>
      </c>
      <c r="AG86" s="12">
        <f>+F86++H86++J86++L86++N86++P86++R86++T86++V86++X86++Z86++AB86++AD86+0</f>
        <v>0</v>
      </c>
      <c r="AH86" s="11">
        <f>G86+I86+K86+M86+O86+Q86+S86+U86+W86+Y86+AA86+AC86+AE86+0</f>
        <v>0</v>
      </c>
      <c r="AI86" s="6"/>
    </row>
    <row r="87" spans="1:35" x14ac:dyDescent="0.2">
      <c r="A87" s="4"/>
      <c r="B87" s="17">
        <v>79</v>
      </c>
      <c r="C87" s="41" t="s">
        <v>182</v>
      </c>
      <c r="D87" s="53"/>
      <c r="E87" s="15" t="s">
        <v>183</v>
      </c>
      <c r="F87" s="30"/>
      <c r="G87" s="31"/>
      <c r="H87" s="30"/>
      <c r="I87" s="58"/>
      <c r="J87" s="30"/>
      <c r="K87" s="58"/>
      <c r="L87" s="30"/>
      <c r="M87" s="58"/>
      <c r="N87" s="30"/>
      <c r="O87" s="58"/>
      <c r="P87" s="30"/>
      <c r="Q87" s="58"/>
      <c r="R87" s="30"/>
      <c r="S87" s="58"/>
      <c r="T87" s="30"/>
      <c r="U87" s="58"/>
      <c r="V87" s="30"/>
      <c r="W87" s="58"/>
      <c r="X87" s="30"/>
      <c r="Y87" s="58"/>
      <c r="Z87" s="30"/>
      <c r="AA87" s="58"/>
      <c r="AB87" s="30"/>
      <c r="AC87" s="58"/>
      <c r="AD87" s="30"/>
      <c r="AE87" s="58"/>
      <c r="AF87" s="55">
        <v>40000</v>
      </c>
      <c r="AG87" s="12">
        <f>+F87++H87++J87++L87++N87++P87++R87++T87++V87++X87++Z87++AB87++AD87+0</f>
        <v>0</v>
      </c>
      <c r="AH87" s="11">
        <f>G87+I87+K87+M87+O87+Q87+S87+U87+W87+Y87+AA87+AC87+AE87+0</f>
        <v>0</v>
      </c>
      <c r="AI87" s="6"/>
    </row>
    <row r="88" spans="1:35" x14ac:dyDescent="0.2">
      <c r="A88" s="4"/>
      <c r="B88" s="17">
        <v>80</v>
      </c>
      <c r="C88" s="41" t="s">
        <v>184</v>
      </c>
      <c r="D88" s="53"/>
      <c r="E88" s="15" t="s">
        <v>185</v>
      </c>
      <c r="F88" s="30"/>
      <c r="G88" s="31"/>
      <c r="H88" s="30"/>
      <c r="I88" s="58"/>
      <c r="J88" s="30"/>
      <c r="K88" s="58"/>
      <c r="L88" s="30"/>
      <c r="M88" s="58"/>
      <c r="N88" s="30"/>
      <c r="O88" s="58"/>
      <c r="P88" s="30"/>
      <c r="Q88" s="58"/>
      <c r="R88" s="30"/>
      <c r="S88" s="58"/>
      <c r="T88" s="30"/>
      <c r="U88" s="58"/>
      <c r="V88" s="30"/>
      <c r="W88" s="58"/>
      <c r="X88" s="30"/>
      <c r="Y88" s="58"/>
      <c r="Z88" s="30"/>
      <c r="AA88" s="58"/>
      <c r="AB88" s="30"/>
      <c r="AC88" s="58"/>
      <c r="AD88" s="30"/>
      <c r="AE88" s="58"/>
      <c r="AF88" s="55">
        <v>60000</v>
      </c>
      <c r="AG88" s="12">
        <f>+F88++H88++J88++L88++N88++P88++R88++T88++V88++X88++Z88++AB88++AD88+0</f>
        <v>0</v>
      </c>
      <c r="AH88" s="11">
        <f>G88+I88+K88+M88+O88+Q88+S88+U88+W88+Y88+AA88+AC88+AE88+0</f>
        <v>0</v>
      </c>
      <c r="AI88" s="6"/>
    </row>
    <row r="89" spans="1:35" x14ac:dyDescent="0.2">
      <c r="A89" s="4"/>
      <c r="B89" s="17">
        <v>81</v>
      </c>
      <c r="C89" s="41" t="s">
        <v>186</v>
      </c>
      <c r="D89" s="53"/>
      <c r="E89" s="15" t="s">
        <v>187</v>
      </c>
      <c r="F89" s="30"/>
      <c r="G89" s="31"/>
      <c r="H89" s="30"/>
      <c r="I89" s="58"/>
      <c r="J89" s="30"/>
      <c r="K89" s="58"/>
      <c r="L89" s="30"/>
      <c r="M89" s="58"/>
      <c r="N89" s="30"/>
      <c r="O89" s="58"/>
      <c r="P89" s="30"/>
      <c r="Q89" s="58"/>
      <c r="R89" s="30"/>
      <c r="S89" s="58"/>
      <c r="T89" s="30"/>
      <c r="U89" s="58"/>
      <c r="V89" s="30"/>
      <c r="W89" s="58"/>
      <c r="X89" s="30"/>
      <c r="Y89" s="58"/>
      <c r="Z89" s="30"/>
      <c r="AA89" s="58"/>
      <c r="AB89" s="30"/>
      <c r="AC89" s="58"/>
      <c r="AD89" s="30"/>
      <c r="AE89" s="58"/>
      <c r="AF89" s="55">
        <v>29000</v>
      </c>
      <c r="AG89" s="12">
        <f>+F89++H89++J89++L89++N89++P89++R89++T89++V89++X89++Z89++AB89++AD89+0</f>
        <v>0</v>
      </c>
      <c r="AH89" s="11">
        <f>G89+I89+K89+M89+O89+Q89+S89+U89+W89+Y89+AA89+AC89+AE89+0</f>
        <v>0</v>
      </c>
      <c r="AI89" s="6"/>
    </row>
    <row r="90" spans="1:35" x14ac:dyDescent="0.2">
      <c r="A90" s="4"/>
      <c r="B90" s="17">
        <v>82</v>
      </c>
      <c r="C90" s="41" t="s">
        <v>188</v>
      </c>
      <c r="D90" s="53"/>
      <c r="E90" s="15" t="s">
        <v>189</v>
      </c>
      <c r="F90" s="30"/>
      <c r="G90" s="31"/>
      <c r="H90" s="30"/>
      <c r="I90" s="58"/>
      <c r="J90" s="30"/>
      <c r="K90" s="58"/>
      <c r="L90" s="30"/>
      <c r="M90" s="58"/>
      <c r="N90" s="30"/>
      <c r="O90" s="58"/>
      <c r="P90" s="30"/>
      <c r="Q90" s="58"/>
      <c r="R90" s="30"/>
      <c r="S90" s="58"/>
      <c r="T90" s="30"/>
      <c r="U90" s="58"/>
      <c r="V90" s="30"/>
      <c r="W90" s="58"/>
      <c r="X90" s="30"/>
      <c r="Y90" s="58"/>
      <c r="Z90" s="30"/>
      <c r="AA90" s="58"/>
      <c r="AB90" s="30"/>
      <c r="AC90" s="58"/>
      <c r="AD90" s="30"/>
      <c r="AE90" s="58"/>
      <c r="AF90" s="55">
        <v>8000</v>
      </c>
      <c r="AG90" s="12">
        <f>+F90++H90++J90++L90++N90++P90++R90++T90++V90++X90++Z90++AB90++AD90+0</f>
        <v>0</v>
      </c>
      <c r="AH90" s="11">
        <f>G90+I90+K90+M90+O90+Q90+S90+U90+W90+Y90+AA90+AC90+AE90+0</f>
        <v>0</v>
      </c>
      <c r="AI90" s="6"/>
    </row>
    <row r="91" spans="1:35" x14ac:dyDescent="0.2">
      <c r="A91" s="4"/>
      <c r="B91" s="17">
        <v>83</v>
      </c>
      <c r="C91" s="41" t="s">
        <v>190</v>
      </c>
      <c r="D91" s="53"/>
      <c r="E91" s="15" t="s">
        <v>191</v>
      </c>
      <c r="F91" s="30"/>
      <c r="G91" s="31"/>
      <c r="H91" s="30"/>
      <c r="I91" s="58"/>
      <c r="J91" s="30"/>
      <c r="K91" s="58"/>
      <c r="L91" s="30"/>
      <c r="M91" s="58"/>
      <c r="N91" s="30"/>
      <c r="O91" s="58"/>
      <c r="P91" s="30"/>
      <c r="Q91" s="58"/>
      <c r="R91" s="30"/>
      <c r="S91" s="58"/>
      <c r="T91" s="30"/>
      <c r="U91" s="58"/>
      <c r="V91" s="30"/>
      <c r="W91" s="58"/>
      <c r="X91" s="30"/>
      <c r="Y91" s="58"/>
      <c r="Z91" s="30"/>
      <c r="AA91" s="58"/>
      <c r="AB91" s="30"/>
      <c r="AC91" s="58"/>
      <c r="AD91" s="30"/>
      <c r="AE91" s="58"/>
      <c r="AF91" s="55">
        <v>500000</v>
      </c>
      <c r="AG91" s="12">
        <f>+F91++H91++J91++L91++N91++P91++R91++T91++V91++X91++Z91++AB91++AD91+0</f>
        <v>0</v>
      </c>
      <c r="AH91" s="11">
        <f>G91+I91+K91+M91+O91+Q91+S91+U91+W91+Y91+AA91+AC91+AE91+0</f>
        <v>0</v>
      </c>
      <c r="AI91" s="6"/>
    </row>
    <row r="92" spans="1:35" x14ac:dyDescent="0.2">
      <c r="A92" s="4"/>
      <c r="B92" s="17">
        <v>84</v>
      </c>
      <c r="C92" s="41" t="s">
        <v>192</v>
      </c>
      <c r="D92" s="53"/>
      <c r="E92" s="15" t="s">
        <v>193</v>
      </c>
      <c r="F92" s="30"/>
      <c r="G92" s="31"/>
      <c r="H92" s="30"/>
      <c r="I92" s="58"/>
      <c r="J92" s="30"/>
      <c r="K92" s="58"/>
      <c r="L92" s="30"/>
      <c r="M92" s="58"/>
      <c r="N92" s="30"/>
      <c r="O92" s="58"/>
      <c r="P92" s="30"/>
      <c r="Q92" s="58"/>
      <c r="R92" s="30"/>
      <c r="S92" s="58"/>
      <c r="T92" s="30"/>
      <c r="U92" s="58"/>
      <c r="V92" s="30"/>
      <c r="W92" s="58"/>
      <c r="X92" s="30"/>
      <c r="Y92" s="58"/>
      <c r="Z92" s="30"/>
      <c r="AA92" s="58"/>
      <c r="AB92" s="30"/>
      <c r="AC92" s="58"/>
      <c r="AD92" s="30"/>
      <c r="AE92" s="58"/>
      <c r="AF92" s="55">
        <v>20000</v>
      </c>
      <c r="AG92" s="12">
        <f>+F92++H92++J92++L92++N92++P92++R92++T92++V92++X92++Z92++AB92++AD92+0</f>
        <v>0</v>
      </c>
      <c r="AH92" s="11">
        <f>G92+I92+K92+M92+O92+Q92+S92+U92+W92+Y92+AA92+AC92+AE92+0</f>
        <v>0</v>
      </c>
      <c r="AI92" s="6"/>
    </row>
    <row r="93" spans="1:35" x14ac:dyDescent="0.2">
      <c r="A93" s="4"/>
      <c r="B93" s="17">
        <v>85</v>
      </c>
      <c r="C93" s="41" t="s">
        <v>194</v>
      </c>
      <c r="D93" s="53"/>
      <c r="E93" s="15" t="s">
        <v>195</v>
      </c>
      <c r="F93" s="30"/>
      <c r="G93" s="31"/>
      <c r="H93" s="30"/>
      <c r="I93" s="58"/>
      <c r="J93" s="30"/>
      <c r="K93" s="58"/>
      <c r="L93" s="30"/>
      <c r="M93" s="58"/>
      <c r="N93" s="30"/>
      <c r="O93" s="58"/>
      <c r="P93" s="30"/>
      <c r="Q93" s="58"/>
      <c r="R93" s="30"/>
      <c r="S93" s="58"/>
      <c r="T93" s="30"/>
      <c r="U93" s="58"/>
      <c r="V93" s="30"/>
      <c r="W93" s="58"/>
      <c r="X93" s="30"/>
      <c r="Y93" s="58"/>
      <c r="Z93" s="30"/>
      <c r="AA93" s="58"/>
      <c r="AB93" s="30"/>
      <c r="AC93" s="58"/>
      <c r="AD93" s="30"/>
      <c r="AE93" s="58"/>
      <c r="AF93" s="55">
        <v>330000</v>
      </c>
      <c r="AG93" s="12">
        <f>+F93++H93++J93++L93++N93++P93++R93++T93++V93++X93++Z93++AB93++AD93+0</f>
        <v>0</v>
      </c>
      <c r="AH93" s="11">
        <f>G93+I93+K93+M93+O93+Q93+S93+U93+W93+Y93+AA93+AC93+AE93+0</f>
        <v>0</v>
      </c>
      <c r="AI93" s="6"/>
    </row>
    <row r="94" spans="1:35" x14ac:dyDescent="0.2">
      <c r="A94" s="4"/>
      <c r="B94" s="17">
        <v>86</v>
      </c>
      <c r="C94" s="41" t="s">
        <v>196</v>
      </c>
      <c r="D94" s="53"/>
      <c r="E94" s="15" t="s">
        <v>197</v>
      </c>
      <c r="F94" s="30"/>
      <c r="G94" s="31"/>
      <c r="H94" s="30"/>
      <c r="I94" s="58"/>
      <c r="J94" s="30"/>
      <c r="K94" s="58"/>
      <c r="L94" s="30"/>
      <c r="M94" s="58"/>
      <c r="N94" s="30"/>
      <c r="O94" s="58"/>
      <c r="P94" s="30"/>
      <c r="Q94" s="58"/>
      <c r="R94" s="30"/>
      <c r="S94" s="58"/>
      <c r="T94" s="30"/>
      <c r="U94" s="58"/>
      <c r="V94" s="30"/>
      <c r="W94" s="58"/>
      <c r="X94" s="30"/>
      <c r="Y94" s="58"/>
      <c r="Z94" s="30"/>
      <c r="AA94" s="58"/>
      <c r="AB94" s="30"/>
      <c r="AC94" s="58"/>
      <c r="AD94" s="30"/>
      <c r="AE94" s="58"/>
      <c r="AF94" s="55">
        <v>14000</v>
      </c>
      <c r="AG94" s="12">
        <f>+F94++H94++J94++L94++N94++P94++R94++T94++V94++X94++Z94++AB94++AD94+0</f>
        <v>0</v>
      </c>
      <c r="AH94" s="11">
        <f>G94+I94+K94+M94+O94+Q94+S94+U94+W94+Y94+AA94+AC94+AE94+0</f>
        <v>0</v>
      </c>
      <c r="AI94" s="6"/>
    </row>
    <row r="95" spans="1:35" x14ac:dyDescent="0.2">
      <c r="A95" s="4"/>
      <c r="B95" s="17">
        <v>87</v>
      </c>
      <c r="C95" s="41" t="s">
        <v>198</v>
      </c>
      <c r="D95" s="53"/>
      <c r="E95" s="15" t="s">
        <v>199</v>
      </c>
      <c r="F95" s="30"/>
      <c r="G95" s="31"/>
      <c r="H95" s="30"/>
      <c r="I95" s="58"/>
      <c r="J95" s="30"/>
      <c r="K95" s="58"/>
      <c r="L95" s="30"/>
      <c r="M95" s="58"/>
      <c r="N95" s="30"/>
      <c r="O95" s="58"/>
      <c r="P95" s="30"/>
      <c r="Q95" s="58"/>
      <c r="R95" s="30"/>
      <c r="S95" s="58"/>
      <c r="T95" s="30"/>
      <c r="U95" s="58"/>
      <c r="V95" s="30"/>
      <c r="W95" s="58"/>
      <c r="X95" s="30"/>
      <c r="Y95" s="58"/>
      <c r="Z95" s="30"/>
      <c r="AA95" s="58"/>
      <c r="AB95" s="30"/>
      <c r="AC95" s="58"/>
      <c r="AD95" s="30"/>
      <c r="AE95" s="58"/>
      <c r="AF95" s="55">
        <v>40000</v>
      </c>
      <c r="AG95" s="12">
        <f>+F95++H95++J95++L95++N95++P95++R95++T95++V95++X95++Z95++AB95++AD95+0</f>
        <v>0</v>
      </c>
      <c r="AH95" s="11">
        <f>G95+I95+K95+M95+O95+Q95+S95+U95+W95+Y95+AA95+AC95+AE95+0</f>
        <v>0</v>
      </c>
      <c r="AI95" s="6"/>
    </row>
    <row r="96" spans="1:35" x14ac:dyDescent="0.2">
      <c r="A96" s="4"/>
      <c r="B96" s="17">
        <v>88</v>
      </c>
      <c r="C96" s="41" t="s">
        <v>200</v>
      </c>
      <c r="D96" s="53"/>
      <c r="E96" s="15" t="s">
        <v>201</v>
      </c>
      <c r="F96" s="30"/>
      <c r="G96" s="31"/>
      <c r="H96" s="30"/>
      <c r="I96" s="58"/>
      <c r="J96" s="30"/>
      <c r="K96" s="58"/>
      <c r="L96" s="30"/>
      <c r="M96" s="58"/>
      <c r="N96" s="30"/>
      <c r="O96" s="58"/>
      <c r="P96" s="30"/>
      <c r="Q96" s="58"/>
      <c r="R96" s="30"/>
      <c r="S96" s="58"/>
      <c r="T96" s="30"/>
      <c r="U96" s="58"/>
      <c r="V96" s="30"/>
      <c r="W96" s="58"/>
      <c r="X96" s="30"/>
      <c r="Y96" s="58"/>
      <c r="Z96" s="30"/>
      <c r="AA96" s="58"/>
      <c r="AB96" s="30"/>
      <c r="AC96" s="58"/>
      <c r="AD96" s="30"/>
      <c r="AE96" s="58"/>
      <c r="AF96" s="55">
        <v>20000</v>
      </c>
      <c r="AG96" s="12">
        <f>+F96++H96++J96++L96++N96++P96++R96++T96++V96++X96++Z96++AB96++AD96+0</f>
        <v>0</v>
      </c>
      <c r="AH96" s="11">
        <f>G96+I96+K96+M96+O96+Q96+S96+U96+W96+Y96+AA96+AC96+AE96+0</f>
        <v>0</v>
      </c>
      <c r="AI96" s="6"/>
    </row>
    <row r="97" spans="1:35" x14ac:dyDescent="0.2">
      <c r="A97" s="4"/>
      <c r="B97" s="17">
        <v>89</v>
      </c>
      <c r="C97" s="41" t="s">
        <v>202</v>
      </c>
      <c r="D97" s="53"/>
      <c r="E97" s="15" t="s">
        <v>203</v>
      </c>
      <c r="F97" s="30"/>
      <c r="G97" s="31"/>
      <c r="H97" s="30"/>
      <c r="I97" s="58"/>
      <c r="J97" s="30"/>
      <c r="K97" s="58"/>
      <c r="L97" s="30"/>
      <c r="M97" s="58"/>
      <c r="N97" s="30"/>
      <c r="O97" s="58"/>
      <c r="P97" s="30"/>
      <c r="Q97" s="58"/>
      <c r="R97" s="30"/>
      <c r="S97" s="58"/>
      <c r="T97" s="30"/>
      <c r="U97" s="58"/>
      <c r="V97" s="30"/>
      <c r="W97" s="58"/>
      <c r="X97" s="30"/>
      <c r="Y97" s="58"/>
      <c r="Z97" s="30"/>
      <c r="AA97" s="58"/>
      <c r="AB97" s="30"/>
      <c r="AC97" s="58"/>
      <c r="AD97" s="30"/>
      <c r="AE97" s="58"/>
      <c r="AF97" s="55">
        <v>10000</v>
      </c>
      <c r="AG97" s="12">
        <f>+F97++H97++J97++L97++N97++P97++R97++T97++V97++X97++Z97++AB97++AD97+0</f>
        <v>0</v>
      </c>
      <c r="AH97" s="11">
        <f>G97+I97+K97+M97+O97+Q97+S97+U97+W97+Y97+AA97+AC97+AE97+0</f>
        <v>0</v>
      </c>
      <c r="AI97" s="6"/>
    </row>
    <row r="98" spans="1:35" x14ac:dyDescent="0.2">
      <c r="A98" s="4"/>
      <c r="B98" s="17">
        <v>90</v>
      </c>
      <c r="C98" s="41" t="s">
        <v>204</v>
      </c>
      <c r="D98" s="53"/>
      <c r="E98" s="15" t="s">
        <v>205</v>
      </c>
      <c r="F98" s="30"/>
      <c r="G98" s="31"/>
      <c r="H98" s="30"/>
      <c r="I98" s="58"/>
      <c r="J98" s="30"/>
      <c r="K98" s="58"/>
      <c r="L98" s="30"/>
      <c r="M98" s="58"/>
      <c r="N98" s="30"/>
      <c r="O98" s="58"/>
      <c r="P98" s="30"/>
      <c r="Q98" s="58"/>
      <c r="R98" s="30"/>
      <c r="S98" s="58"/>
      <c r="T98" s="30"/>
      <c r="U98" s="58"/>
      <c r="V98" s="30"/>
      <c r="W98" s="58"/>
      <c r="X98" s="30"/>
      <c r="Y98" s="58"/>
      <c r="Z98" s="30"/>
      <c r="AA98" s="58"/>
      <c r="AB98" s="30"/>
      <c r="AC98" s="58"/>
      <c r="AD98" s="30"/>
      <c r="AE98" s="58"/>
      <c r="AF98" s="55">
        <v>1100000</v>
      </c>
      <c r="AG98" s="12">
        <f>+F98++H98++J98++L98++N98++P98++R98++T98++V98++X98++Z98++AB98++AD98+0</f>
        <v>0</v>
      </c>
      <c r="AH98" s="11">
        <f>G98+I98+K98+M98+O98+Q98+S98+U98+W98+Y98+AA98+AC98+AE98+0</f>
        <v>0</v>
      </c>
      <c r="AI98" s="6"/>
    </row>
    <row r="99" spans="1:35" x14ac:dyDescent="0.2">
      <c r="A99" s="4"/>
      <c r="B99" s="17">
        <v>91</v>
      </c>
      <c r="C99" s="41" t="s">
        <v>206</v>
      </c>
      <c r="D99" s="53"/>
      <c r="E99" s="15" t="s">
        <v>207</v>
      </c>
      <c r="F99" s="30"/>
      <c r="G99" s="31"/>
      <c r="H99" s="30"/>
      <c r="I99" s="58"/>
      <c r="J99" s="30"/>
      <c r="K99" s="58"/>
      <c r="L99" s="30"/>
      <c r="M99" s="58"/>
      <c r="N99" s="30"/>
      <c r="O99" s="58"/>
      <c r="P99" s="30"/>
      <c r="Q99" s="58"/>
      <c r="R99" s="30"/>
      <c r="S99" s="58"/>
      <c r="T99" s="30"/>
      <c r="U99" s="58"/>
      <c r="V99" s="30"/>
      <c r="W99" s="58"/>
      <c r="X99" s="30"/>
      <c r="Y99" s="58"/>
      <c r="Z99" s="30"/>
      <c r="AA99" s="58"/>
      <c r="AB99" s="30"/>
      <c r="AC99" s="58"/>
      <c r="AD99" s="30"/>
      <c r="AE99" s="58"/>
      <c r="AF99" s="55">
        <v>1200000</v>
      </c>
      <c r="AG99" s="12">
        <f>+F99++H99++J99++L99++N99++P99++R99++T99++V99++X99++Z99++AB99++AD99+0</f>
        <v>0</v>
      </c>
      <c r="AH99" s="11">
        <f>G99+I99+K99+M99+O99+Q99+S99+U99+W99+Y99+AA99+AC99+AE99+0</f>
        <v>0</v>
      </c>
      <c r="AI99" s="6"/>
    </row>
    <row r="100" spans="1:35" x14ac:dyDescent="0.2">
      <c r="A100" s="4"/>
      <c r="B100" s="17">
        <v>92</v>
      </c>
      <c r="C100" s="41" t="s">
        <v>208</v>
      </c>
      <c r="D100" s="53"/>
      <c r="E100" s="15" t="s">
        <v>209</v>
      </c>
      <c r="F100" s="30"/>
      <c r="G100" s="31"/>
      <c r="H100" s="30"/>
      <c r="I100" s="58"/>
      <c r="J100" s="30"/>
      <c r="K100" s="58"/>
      <c r="L100" s="30"/>
      <c r="M100" s="58"/>
      <c r="N100" s="30"/>
      <c r="O100" s="58"/>
      <c r="P100" s="30"/>
      <c r="Q100" s="58"/>
      <c r="R100" s="30"/>
      <c r="S100" s="58"/>
      <c r="T100" s="30"/>
      <c r="U100" s="58"/>
      <c r="V100" s="30"/>
      <c r="W100" s="58"/>
      <c r="X100" s="30"/>
      <c r="Y100" s="58"/>
      <c r="Z100" s="30"/>
      <c r="AA100" s="58"/>
      <c r="AB100" s="30"/>
      <c r="AC100" s="58"/>
      <c r="AD100" s="30"/>
      <c r="AE100" s="58"/>
      <c r="AF100" s="55">
        <v>20000</v>
      </c>
      <c r="AG100" s="12">
        <f>+F100++H100++J100++L100++N100++P100++R100++T100++V100++X100++Z100++AB100++AD100+0</f>
        <v>0</v>
      </c>
      <c r="AH100" s="11">
        <f>G100+I100+K100+M100+O100+Q100+S100+U100+W100+Y100+AA100+AC100+AE100+0</f>
        <v>0</v>
      </c>
      <c r="AI100" s="6"/>
    </row>
    <row r="101" spans="1:35" x14ac:dyDescent="0.2">
      <c r="A101" s="4"/>
      <c r="B101" s="17">
        <v>93</v>
      </c>
      <c r="C101" s="41" t="s">
        <v>210</v>
      </c>
      <c r="D101" s="53"/>
      <c r="E101" s="15" t="s">
        <v>211</v>
      </c>
      <c r="F101" s="30"/>
      <c r="G101" s="31"/>
      <c r="H101" s="30"/>
      <c r="I101" s="58"/>
      <c r="J101" s="30"/>
      <c r="K101" s="58"/>
      <c r="L101" s="30"/>
      <c r="M101" s="58"/>
      <c r="N101" s="30"/>
      <c r="O101" s="58"/>
      <c r="P101" s="30"/>
      <c r="Q101" s="58"/>
      <c r="R101" s="30"/>
      <c r="S101" s="58"/>
      <c r="T101" s="30"/>
      <c r="U101" s="58"/>
      <c r="V101" s="30"/>
      <c r="W101" s="58"/>
      <c r="X101" s="30"/>
      <c r="Y101" s="58"/>
      <c r="Z101" s="30"/>
      <c r="AA101" s="58"/>
      <c r="AB101" s="30"/>
      <c r="AC101" s="58"/>
      <c r="AD101" s="30"/>
      <c r="AE101" s="58"/>
      <c r="AF101" s="55">
        <v>10000</v>
      </c>
      <c r="AG101" s="12">
        <f>+F101++H101++J101++L101++N101++P101++R101++T101++V101++X101++Z101++AB101++AD101+0</f>
        <v>0</v>
      </c>
      <c r="AH101" s="11">
        <f>G101+I101+K101+M101+O101+Q101+S101+U101+W101+Y101+AA101+AC101+AE101+0</f>
        <v>0</v>
      </c>
      <c r="AI101" s="6"/>
    </row>
    <row r="102" spans="1:35" x14ac:dyDescent="0.2">
      <c r="A102" s="4"/>
      <c r="B102" s="17">
        <v>94</v>
      </c>
      <c r="C102" s="41" t="s">
        <v>212</v>
      </c>
      <c r="D102" s="53"/>
      <c r="E102" s="15" t="s">
        <v>213</v>
      </c>
      <c r="F102" s="30"/>
      <c r="G102" s="31"/>
      <c r="H102" s="30"/>
      <c r="I102" s="58"/>
      <c r="J102" s="30"/>
      <c r="K102" s="58"/>
      <c r="L102" s="30"/>
      <c r="M102" s="58"/>
      <c r="N102" s="30"/>
      <c r="O102" s="58"/>
      <c r="P102" s="30"/>
      <c r="Q102" s="58"/>
      <c r="R102" s="30"/>
      <c r="S102" s="58"/>
      <c r="T102" s="30"/>
      <c r="U102" s="58"/>
      <c r="V102" s="30"/>
      <c r="W102" s="58"/>
      <c r="X102" s="30"/>
      <c r="Y102" s="58"/>
      <c r="Z102" s="30"/>
      <c r="AA102" s="58"/>
      <c r="AB102" s="30"/>
      <c r="AC102" s="58"/>
      <c r="AD102" s="30"/>
      <c r="AE102" s="58"/>
      <c r="AF102" s="55">
        <v>20000</v>
      </c>
      <c r="AG102" s="12">
        <f>+F102++H102++J102++L102++N102++P102++R102++T102++V102++X102++Z102++AB102++AD102+0</f>
        <v>0</v>
      </c>
      <c r="AH102" s="11">
        <f>G102+I102+K102+M102+O102+Q102+S102+U102+W102+Y102+AA102+AC102+AE102+0</f>
        <v>0</v>
      </c>
      <c r="AI102" s="6"/>
    </row>
    <row r="103" spans="1:35" x14ac:dyDescent="0.2">
      <c r="A103" s="4"/>
      <c r="B103" s="17">
        <v>95</v>
      </c>
      <c r="C103" s="41" t="s">
        <v>214</v>
      </c>
      <c r="D103" s="53"/>
      <c r="E103" s="15" t="s">
        <v>215</v>
      </c>
      <c r="F103" s="30"/>
      <c r="G103" s="31"/>
      <c r="H103" s="30"/>
      <c r="I103" s="58"/>
      <c r="J103" s="30"/>
      <c r="K103" s="58"/>
      <c r="L103" s="30"/>
      <c r="M103" s="58"/>
      <c r="N103" s="30"/>
      <c r="O103" s="58"/>
      <c r="P103" s="30"/>
      <c r="Q103" s="58"/>
      <c r="R103" s="30"/>
      <c r="S103" s="58"/>
      <c r="T103" s="30"/>
      <c r="U103" s="58"/>
      <c r="V103" s="30"/>
      <c r="W103" s="58"/>
      <c r="X103" s="30"/>
      <c r="Y103" s="58"/>
      <c r="Z103" s="30"/>
      <c r="AA103" s="58"/>
      <c r="AB103" s="30"/>
      <c r="AC103" s="58"/>
      <c r="AD103" s="30"/>
      <c r="AE103" s="58"/>
      <c r="AF103" s="55">
        <v>30000</v>
      </c>
      <c r="AG103" s="12">
        <f>+F103++H103++J103++L103++N103++P103++R103++T103++V103++X103++Z103++AB103++AD103+0</f>
        <v>0</v>
      </c>
      <c r="AH103" s="11">
        <f>G103+I103+K103+M103+O103+Q103+S103+U103+W103+Y103+AA103+AC103+AE103+0</f>
        <v>0</v>
      </c>
      <c r="AI103" s="6"/>
    </row>
    <row r="104" spans="1:35" x14ac:dyDescent="0.2">
      <c r="A104" s="4"/>
      <c r="B104" s="17">
        <v>96</v>
      </c>
      <c r="C104" s="41" t="s">
        <v>216</v>
      </c>
      <c r="D104" s="53"/>
      <c r="E104" s="15" t="s">
        <v>217</v>
      </c>
      <c r="F104" s="30"/>
      <c r="G104" s="31"/>
      <c r="H104" s="30"/>
      <c r="I104" s="58"/>
      <c r="J104" s="30"/>
      <c r="K104" s="58"/>
      <c r="L104" s="30"/>
      <c r="M104" s="58"/>
      <c r="N104" s="30"/>
      <c r="O104" s="58"/>
      <c r="P104" s="30"/>
      <c r="Q104" s="58"/>
      <c r="R104" s="30"/>
      <c r="S104" s="58"/>
      <c r="T104" s="30"/>
      <c r="U104" s="58"/>
      <c r="V104" s="30"/>
      <c r="W104" s="58"/>
      <c r="X104" s="30"/>
      <c r="Y104" s="58"/>
      <c r="Z104" s="30"/>
      <c r="AA104" s="58"/>
      <c r="AB104" s="30"/>
      <c r="AC104" s="58"/>
      <c r="AD104" s="30"/>
      <c r="AE104" s="58"/>
      <c r="AF104" s="55">
        <v>50000</v>
      </c>
      <c r="AG104" s="12">
        <f>+F104++H104++J104++L104++N104++P104++R104++T104++V104++X104++Z104++AB104++AD104+0</f>
        <v>0</v>
      </c>
      <c r="AH104" s="11">
        <f>G104+I104+K104+M104+O104+Q104+S104+U104+W104+Y104+AA104+AC104+AE104+0</f>
        <v>0</v>
      </c>
      <c r="AI104" s="6"/>
    </row>
    <row r="105" spans="1:35" x14ac:dyDescent="0.2">
      <c r="A105" s="4"/>
      <c r="B105" s="17">
        <v>97</v>
      </c>
      <c r="C105" s="41" t="s">
        <v>218</v>
      </c>
      <c r="D105" s="53"/>
      <c r="E105" s="15" t="s">
        <v>219</v>
      </c>
      <c r="F105" s="30"/>
      <c r="G105" s="31"/>
      <c r="H105" s="30"/>
      <c r="I105" s="58"/>
      <c r="J105" s="30"/>
      <c r="K105" s="58"/>
      <c r="L105" s="30"/>
      <c r="M105" s="58"/>
      <c r="N105" s="30"/>
      <c r="O105" s="58"/>
      <c r="P105" s="30"/>
      <c r="Q105" s="58"/>
      <c r="R105" s="30"/>
      <c r="S105" s="58"/>
      <c r="T105" s="30"/>
      <c r="U105" s="58"/>
      <c r="V105" s="30"/>
      <c r="W105" s="58"/>
      <c r="X105" s="30"/>
      <c r="Y105" s="58"/>
      <c r="Z105" s="30"/>
      <c r="AA105" s="58"/>
      <c r="AB105" s="30"/>
      <c r="AC105" s="58"/>
      <c r="AD105" s="30"/>
      <c r="AE105" s="58"/>
      <c r="AF105" s="55">
        <v>70000</v>
      </c>
      <c r="AG105" s="12">
        <f>+F105++H105++J105++L105++N105++P105++R105++T105++V105++X105++Z105++AB105++AD105+0</f>
        <v>0</v>
      </c>
      <c r="AH105" s="11">
        <f>G105+I105+K105+M105+O105+Q105+S105+U105+W105+Y105+AA105+AC105+AE105+0</f>
        <v>0</v>
      </c>
      <c r="AI105" s="6"/>
    </row>
    <row r="106" spans="1:35" x14ac:dyDescent="0.2">
      <c r="A106" s="4"/>
      <c r="B106" s="17">
        <v>98</v>
      </c>
      <c r="C106" s="41" t="s">
        <v>220</v>
      </c>
      <c r="D106" s="53"/>
      <c r="E106" s="15" t="s">
        <v>221</v>
      </c>
      <c r="F106" s="30"/>
      <c r="G106" s="31"/>
      <c r="H106" s="30"/>
      <c r="I106" s="58"/>
      <c r="J106" s="30"/>
      <c r="K106" s="58"/>
      <c r="L106" s="30"/>
      <c r="M106" s="58"/>
      <c r="N106" s="30"/>
      <c r="O106" s="58"/>
      <c r="P106" s="30"/>
      <c r="Q106" s="58"/>
      <c r="R106" s="30"/>
      <c r="S106" s="58"/>
      <c r="T106" s="30"/>
      <c r="U106" s="58"/>
      <c r="V106" s="30"/>
      <c r="W106" s="58"/>
      <c r="X106" s="30"/>
      <c r="Y106" s="58"/>
      <c r="Z106" s="30"/>
      <c r="AA106" s="58"/>
      <c r="AB106" s="30"/>
      <c r="AC106" s="58"/>
      <c r="AD106" s="30"/>
      <c r="AE106" s="58"/>
      <c r="AF106" s="55">
        <v>110000</v>
      </c>
      <c r="AG106" s="12">
        <f>+F106++H106++J106++L106++N106++P106++R106++T106++V106++X106++Z106++AB106++AD106+0</f>
        <v>0</v>
      </c>
      <c r="AH106" s="11">
        <f>G106+I106+K106+M106+O106+Q106+S106+U106+W106+Y106+AA106+AC106+AE106+0</f>
        <v>0</v>
      </c>
      <c r="AI106" s="6"/>
    </row>
    <row r="107" spans="1:35" x14ac:dyDescent="0.2">
      <c r="A107" s="4"/>
      <c r="B107" s="17">
        <v>99</v>
      </c>
      <c r="C107" s="41" t="s">
        <v>222</v>
      </c>
      <c r="D107" s="53"/>
      <c r="E107" s="15" t="s">
        <v>223</v>
      </c>
      <c r="F107" s="30"/>
      <c r="G107" s="31"/>
      <c r="H107" s="30"/>
      <c r="I107" s="58"/>
      <c r="J107" s="30"/>
      <c r="K107" s="58"/>
      <c r="L107" s="30"/>
      <c r="M107" s="58"/>
      <c r="N107" s="30"/>
      <c r="O107" s="58"/>
      <c r="P107" s="30"/>
      <c r="Q107" s="58"/>
      <c r="R107" s="30"/>
      <c r="S107" s="58"/>
      <c r="T107" s="30"/>
      <c r="U107" s="58"/>
      <c r="V107" s="30"/>
      <c r="W107" s="58"/>
      <c r="X107" s="30"/>
      <c r="Y107" s="58"/>
      <c r="Z107" s="30"/>
      <c r="AA107" s="58"/>
      <c r="AB107" s="30"/>
      <c r="AC107" s="58"/>
      <c r="AD107" s="30"/>
      <c r="AE107" s="58"/>
      <c r="AF107" s="55">
        <v>50000</v>
      </c>
      <c r="AG107" s="12">
        <f>+F107++H107++J107++L107++N107++P107++R107++T107++V107++X107++Z107++AB107++AD107+0</f>
        <v>0</v>
      </c>
      <c r="AH107" s="11">
        <f>G107+I107+K107+M107+O107+Q107+S107+U107+W107+Y107+AA107+AC107+AE107+0</f>
        <v>0</v>
      </c>
      <c r="AI107" s="6"/>
    </row>
    <row r="108" spans="1:35" x14ac:dyDescent="0.2">
      <c r="A108" s="4"/>
      <c r="B108" s="17">
        <v>100</v>
      </c>
      <c r="C108" s="41" t="s">
        <v>224</v>
      </c>
      <c r="D108" s="53"/>
      <c r="E108" s="15" t="s">
        <v>225</v>
      </c>
      <c r="F108" s="30"/>
      <c r="G108" s="31"/>
      <c r="H108" s="30"/>
      <c r="I108" s="58"/>
      <c r="J108" s="30"/>
      <c r="K108" s="58"/>
      <c r="L108" s="30"/>
      <c r="M108" s="58"/>
      <c r="N108" s="30"/>
      <c r="O108" s="58"/>
      <c r="P108" s="30"/>
      <c r="Q108" s="58"/>
      <c r="R108" s="30"/>
      <c r="S108" s="58"/>
      <c r="T108" s="30"/>
      <c r="U108" s="58"/>
      <c r="V108" s="30"/>
      <c r="W108" s="58"/>
      <c r="X108" s="30"/>
      <c r="Y108" s="58"/>
      <c r="Z108" s="30"/>
      <c r="AA108" s="58"/>
      <c r="AB108" s="30"/>
      <c r="AC108" s="58"/>
      <c r="AD108" s="30"/>
      <c r="AE108" s="58"/>
      <c r="AF108" s="55">
        <v>30000</v>
      </c>
      <c r="AG108" s="12">
        <f>+F108++H108++J108++L108++N108++P108++R108++T108++V108++X108++Z108++AB108++AD108+0</f>
        <v>0</v>
      </c>
      <c r="AH108" s="11">
        <f>G108+I108+K108+M108+O108+Q108+S108+U108+W108+Y108+AA108+AC108+AE108+0</f>
        <v>0</v>
      </c>
      <c r="AI108" s="6"/>
    </row>
    <row r="109" spans="1:35" x14ac:dyDescent="0.2">
      <c r="A109" s="4"/>
      <c r="B109" s="17">
        <v>101</v>
      </c>
      <c r="C109" s="41" t="s">
        <v>226</v>
      </c>
      <c r="D109" s="53"/>
      <c r="E109" s="15" t="s">
        <v>227</v>
      </c>
      <c r="F109" s="30"/>
      <c r="G109" s="31"/>
      <c r="H109" s="30"/>
      <c r="I109" s="58"/>
      <c r="J109" s="30"/>
      <c r="K109" s="58"/>
      <c r="L109" s="30"/>
      <c r="M109" s="58"/>
      <c r="N109" s="30"/>
      <c r="O109" s="58"/>
      <c r="P109" s="30"/>
      <c r="Q109" s="58"/>
      <c r="R109" s="30"/>
      <c r="S109" s="58"/>
      <c r="T109" s="30"/>
      <c r="U109" s="58"/>
      <c r="V109" s="30"/>
      <c r="W109" s="58"/>
      <c r="X109" s="30"/>
      <c r="Y109" s="58"/>
      <c r="Z109" s="30"/>
      <c r="AA109" s="58"/>
      <c r="AB109" s="30"/>
      <c r="AC109" s="58"/>
      <c r="AD109" s="30"/>
      <c r="AE109" s="58"/>
      <c r="AF109" s="55">
        <v>40000</v>
      </c>
      <c r="AG109" s="12">
        <f>+F109++H109++J109++L109++N109++P109++R109++T109++V109++X109++Z109++AB109++AD109+0</f>
        <v>0</v>
      </c>
      <c r="AH109" s="11">
        <f>G109+I109+K109+M109+O109+Q109+S109+U109+W109+Y109+AA109+AC109+AE109+0</f>
        <v>0</v>
      </c>
      <c r="AI109" s="6"/>
    </row>
    <row r="110" spans="1:35" x14ac:dyDescent="0.2">
      <c r="A110" s="4"/>
      <c r="B110" s="17">
        <v>102</v>
      </c>
      <c r="C110" s="41" t="s">
        <v>228</v>
      </c>
      <c r="D110" s="53"/>
      <c r="E110" s="15" t="s">
        <v>229</v>
      </c>
      <c r="F110" s="30"/>
      <c r="G110" s="31"/>
      <c r="H110" s="30"/>
      <c r="I110" s="58"/>
      <c r="J110" s="30"/>
      <c r="K110" s="58"/>
      <c r="L110" s="30"/>
      <c r="M110" s="58"/>
      <c r="N110" s="30"/>
      <c r="O110" s="58"/>
      <c r="P110" s="30"/>
      <c r="Q110" s="58"/>
      <c r="R110" s="30"/>
      <c r="S110" s="58"/>
      <c r="T110" s="30"/>
      <c r="U110" s="58"/>
      <c r="V110" s="30"/>
      <c r="W110" s="58"/>
      <c r="X110" s="30"/>
      <c r="Y110" s="58"/>
      <c r="Z110" s="30"/>
      <c r="AA110" s="58"/>
      <c r="AB110" s="30"/>
      <c r="AC110" s="58"/>
      <c r="AD110" s="30"/>
      <c r="AE110" s="58"/>
      <c r="AF110" s="55">
        <v>140000</v>
      </c>
      <c r="AG110" s="12">
        <f>+F110++H110++J110++L110++N110++P110++R110++T110++V110++X110++Z110++AB110++AD110+0</f>
        <v>0</v>
      </c>
      <c r="AH110" s="11">
        <f>G110+I110+K110+M110+O110+Q110+S110+U110+W110+Y110+AA110+AC110+AE110+0</f>
        <v>0</v>
      </c>
      <c r="AI110" s="6"/>
    </row>
    <row r="111" spans="1:35" x14ac:dyDescent="0.2">
      <c r="A111" s="4"/>
      <c r="B111" s="17">
        <v>103</v>
      </c>
      <c r="C111" s="41" t="s">
        <v>230</v>
      </c>
      <c r="D111" s="53"/>
      <c r="E111" s="15" t="s">
        <v>231</v>
      </c>
      <c r="F111" s="30"/>
      <c r="G111" s="31"/>
      <c r="H111" s="30"/>
      <c r="I111" s="58"/>
      <c r="J111" s="30"/>
      <c r="K111" s="58"/>
      <c r="L111" s="30"/>
      <c r="M111" s="58"/>
      <c r="N111" s="30"/>
      <c r="O111" s="58"/>
      <c r="P111" s="30"/>
      <c r="Q111" s="58"/>
      <c r="R111" s="30"/>
      <c r="S111" s="58"/>
      <c r="T111" s="30"/>
      <c r="U111" s="58"/>
      <c r="V111" s="30"/>
      <c r="W111" s="58"/>
      <c r="X111" s="30"/>
      <c r="Y111" s="58"/>
      <c r="Z111" s="30"/>
      <c r="AA111" s="58"/>
      <c r="AB111" s="30"/>
      <c r="AC111" s="58"/>
      <c r="AD111" s="30"/>
      <c r="AE111" s="58"/>
      <c r="AF111" s="55">
        <v>50000</v>
      </c>
      <c r="AG111" s="12">
        <f>+F111++H111++J111++L111++N111++P111++R111++T111++V111++X111++Z111++AB111++AD111+0</f>
        <v>0</v>
      </c>
      <c r="AH111" s="11">
        <f>G111+I111+K111+M111+O111+Q111+S111+U111+W111+Y111+AA111+AC111+AE111+0</f>
        <v>0</v>
      </c>
      <c r="AI111" s="6"/>
    </row>
    <row r="112" spans="1:35" x14ac:dyDescent="0.2">
      <c r="A112" s="4"/>
      <c r="B112" s="17">
        <v>104</v>
      </c>
      <c r="C112" s="41" t="s">
        <v>232</v>
      </c>
      <c r="D112" s="53"/>
      <c r="E112" s="15" t="s">
        <v>233</v>
      </c>
      <c r="F112" s="30"/>
      <c r="G112" s="31"/>
      <c r="H112" s="30"/>
      <c r="I112" s="58"/>
      <c r="J112" s="30"/>
      <c r="K112" s="58"/>
      <c r="L112" s="30"/>
      <c r="M112" s="58"/>
      <c r="N112" s="30"/>
      <c r="O112" s="58"/>
      <c r="P112" s="30"/>
      <c r="Q112" s="58"/>
      <c r="R112" s="30"/>
      <c r="S112" s="58"/>
      <c r="T112" s="30"/>
      <c r="U112" s="58"/>
      <c r="V112" s="30"/>
      <c r="W112" s="58"/>
      <c r="X112" s="30"/>
      <c r="Y112" s="58"/>
      <c r="Z112" s="30"/>
      <c r="AA112" s="58"/>
      <c r="AB112" s="30"/>
      <c r="AC112" s="58"/>
      <c r="AD112" s="30"/>
      <c r="AE112" s="58"/>
      <c r="AF112" s="55">
        <v>10000</v>
      </c>
      <c r="AG112" s="12">
        <f>+F112++H112++J112++L112++N112++P112++R112++T112++V112++X112++Z112++AB112++AD112+0</f>
        <v>0</v>
      </c>
      <c r="AH112" s="11">
        <f>G112+I112+K112+M112+O112+Q112+S112+U112+W112+Y112+AA112+AC112+AE112+0</f>
        <v>0</v>
      </c>
      <c r="AI112" s="6"/>
    </row>
    <row r="113" spans="1:35" x14ac:dyDescent="0.2">
      <c r="A113" s="4"/>
      <c r="B113" s="17">
        <v>105</v>
      </c>
      <c r="C113" s="41" t="s">
        <v>234</v>
      </c>
      <c r="D113" s="53"/>
      <c r="E113" s="15" t="s">
        <v>235</v>
      </c>
      <c r="F113" s="30"/>
      <c r="G113" s="31"/>
      <c r="H113" s="30"/>
      <c r="I113" s="58"/>
      <c r="J113" s="30"/>
      <c r="K113" s="58"/>
      <c r="L113" s="30"/>
      <c r="M113" s="58"/>
      <c r="N113" s="30"/>
      <c r="O113" s="58"/>
      <c r="P113" s="30"/>
      <c r="Q113" s="58"/>
      <c r="R113" s="30"/>
      <c r="S113" s="58"/>
      <c r="T113" s="30"/>
      <c r="U113" s="58"/>
      <c r="V113" s="30"/>
      <c r="W113" s="58"/>
      <c r="X113" s="30"/>
      <c r="Y113" s="58"/>
      <c r="Z113" s="30"/>
      <c r="AA113" s="58"/>
      <c r="AB113" s="30"/>
      <c r="AC113" s="58"/>
      <c r="AD113" s="30"/>
      <c r="AE113" s="58"/>
      <c r="AF113" s="55">
        <v>50000</v>
      </c>
      <c r="AG113" s="12">
        <f>+F113++H113++J113++L113++N113++P113++R113++T113++V113++X113++Z113++AB113++AD113+0</f>
        <v>0</v>
      </c>
      <c r="AH113" s="11">
        <f>G113+I113+K113+M113+O113+Q113+S113+U113+W113+Y113+AA113+AC113+AE113+0</f>
        <v>0</v>
      </c>
      <c r="AI113" s="6"/>
    </row>
    <row r="114" spans="1:35" x14ac:dyDescent="0.2">
      <c r="A114" s="4"/>
      <c r="B114" s="17">
        <v>106</v>
      </c>
      <c r="C114" s="41" t="s">
        <v>236</v>
      </c>
      <c r="D114" s="53"/>
      <c r="E114" s="15" t="s">
        <v>237</v>
      </c>
      <c r="F114" s="30"/>
      <c r="G114" s="31"/>
      <c r="H114" s="30"/>
      <c r="I114" s="58"/>
      <c r="J114" s="30"/>
      <c r="K114" s="58"/>
      <c r="L114" s="30"/>
      <c r="M114" s="58"/>
      <c r="N114" s="30"/>
      <c r="O114" s="58"/>
      <c r="P114" s="30"/>
      <c r="Q114" s="58"/>
      <c r="R114" s="30"/>
      <c r="S114" s="58"/>
      <c r="T114" s="30"/>
      <c r="U114" s="58"/>
      <c r="V114" s="30"/>
      <c r="W114" s="58"/>
      <c r="X114" s="30"/>
      <c r="Y114" s="58"/>
      <c r="Z114" s="30"/>
      <c r="AA114" s="58"/>
      <c r="AB114" s="30"/>
      <c r="AC114" s="58"/>
      <c r="AD114" s="30"/>
      <c r="AE114" s="58"/>
      <c r="AF114" s="55">
        <v>20000</v>
      </c>
      <c r="AG114" s="12">
        <f>+F114++H114++J114++L114++N114++P114++R114++T114++V114++X114++Z114++AB114++AD114+0</f>
        <v>0</v>
      </c>
      <c r="AH114" s="11">
        <f>G114+I114+K114+M114+O114+Q114+S114+U114+W114+Y114+AA114+AC114+AE114+0</f>
        <v>0</v>
      </c>
      <c r="AI114" s="6"/>
    </row>
    <row r="115" spans="1:35" x14ac:dyDescent="0.2">
      <c r="A115" s="4"/>
      <c r="B115" s="17">
        <v>107</v>
      </c>
      <c r="C115" s="41" t="s">
        <v>238</v>
      </c>
      <c r="D115" s="53"/>
      <c r="E115" s="15" t="s">
        <v>239</v>
      </c>
      <c r="F115" s="30"/>
      <c r="G115" s="31"/>
      <c r="H115" s="30"/>
      <c r="I115" s="58"/>
      <c r="J115" s="30"/>
      <c r="K115" s="58"/>
      <c r="L115" s="30"/>
      <c r="M115" s="58"/>
      <c r="N115" s="30"/>
      <c r="O115" s="58"/>
      <c r="P115" s="30"/>
      <c r="Q115" s="58"/>
      <c r="R115" s="30"/>
      <c r="S115" s="58"/>
      <c r="T115" s="30"/>
      <c r="U115" s="58"/>
      <c r="V115" s="30"/>
      <c r="W115" s="58"/>
      <c r="X115" s="30"/>
      <c r="Y115" s="58"/>
      <c r="Z115" s="30"/>
      <c r="AA115" s="58"/>
      <c r="AB115" s="30"/>
      <c r="AC115" s="58"/>
      <c r="AD115" s="30"/>
      <c r="AE115" s="58"/>
      <c r="AF115" s="55">
        <v>20000</v>
      </c>
      <c r="AG115" s="12">
        <f>+F115++H115++J115++L115++N115++P115++R115++T115++V115++X115++Z115++AB115++AD115+0</f>
        <v>0</v>
      </c>
      <c r="AH115" s="11">
        <f>G115+I115+K115+M115+O115+Q115+S115+U115+W115+Y115+AA115+AC115+AE115+0</f>
        <v>0</v>
      </c>
      <c r="AI115" s="6"/>
    </row>
    <row r="116" spans="1:35" x14ac:dyDescent="0.2">
      <c r="A116" s="4"/>
      <c r="B116" s="17">
        <v>108</v>
      </c>
      <c r="C116" s="41" t="s">
        <v>240</v>
      </c>
      <c r="D116" s="53"/>
      <c r="E116" s="15" t="s">
        <v>241</v>
      </c>
      <c r="F116" s="30"/>
      <c r="G116" s="31"/>
      <c r="H116" s="30"/>
      <c r="I116" s="58"/>
      <c r="J116" s="30"/>
      <c r="K116" s="58"/>
      <c r="L116" s="30"/>
      <c r="M116" s="58"/>
      <c r="N116" s="30"/>
      <c r="O116" s="58"/>
      <c r="P116" s="30"/>
      <c r="Q116" s="58"/>
      <c r="R116" s="30"/>
      <c r="S116" s="58"/>
      <c r="T116" s="30"/>
      <c r="U116" s="58"/>
      <c r="V116" s="30"/>
      <c r="W116" s="58"/>
      <c r="X116" s="30"/>
      <c r="Y116" s="58"/>
      <c r="Z116" s="30"/>
      <c r="AA116" s="58"/>
      <c r="AB116" s="30"/>
      <c r="AC116" s="58"/>
      <c r="AD116" s="30"/>
      <c r="AE116" s="58"/>
      <c r="AF116" s="55">
        <v>30000</v>
      </c>
      <c r="AG116" s="12">
        <f>+F116++H116++J116++L116++N116++P116++R116++T116++V116++X116++Z116++AB116++AD116+0</f>
        <v>0</v>
      </c>
      <c r="AH116" s="11">
        <f>G116+I116+K116+M116+O116+Q116+S116+U116+W116+Y116+AA116+AC116+AE116+0</f>
        <v>0</v>
      </c>
      <c r="AI116" s="6"/>
    </row>
    <row r="117" spans="1:35" x14ac:dyDescent="0.2">
      <c r="A117" s="4"/>
      <c r="B117" s="17">
        <v>109</v>
      </c>
      <c r="C117" s="41" t="s">
        <v>242</v>
      </c>
      <c r="D117" s="53"/>
      <c r="E117" s="15" t="s">
        <v>243</v>
      </c>
      <c r="F117" s="30"/>
      <c r="G117" s="31"/>
      <c r="H117" s="30"/>
      <c r="I117" s="58"/>
      <c r="J117" s="30"/>
      <c r="K117" s="58"/>
      <c r="L117" s="30"/>
      <c r="M117" s="58"/>
      <c r="N117" s="30"/>
      <c r="O117" s="58"/>
      <c r="P117" s="30"/>
      <c r="Q117" s="58"/>
      <c r="R117" s="30"/>
      <c r="S117" s="58"/>
      <c r="T117" s="30"/>
      <c r="U117" s="58"/>
      <c r="V117" s="30"/>
      <c r="W117" s="58"/>
      <c r="X117" s="30"/>
      <c r="Y117" s="58"/>
      <c r="Z117" s="30"/>
      <c r="AA117" s="58"/>
      <c r="AB117" s="30"/>
      <c r="AC117" s="58"/>
      <c r="AD117" s="30"/>
      <c r="AE117" s="58"/>
      <c r="AF117" s="55">
        <v>45000</v>
      </c>
      <c r="AG117" s="12">
        <f>+F117++H117++J117++L117++N117++P117++R117++T117++V117++X117++Z117++AB117++AD117+0</f>
        <v>0</v>
      </c>
      <c r="AH117" s="11">
        <f>G117+I117+K117+M117+O117+Q117+S117+U117+W117+Y117+AA117+AC117+AE117+0</f>
        <v>0</v>
      </c>
      <c r="AI117" s="6"/>
    </row>
    <row r="118" spans="1:35" x14ac:dyDescent="0.2">
      <c r="A118" s="4"/>
      <c r="B118" s="17">
        <v>110</v>
      </c>
      <c r="C118" s="41" t="s">
        <v>244</v>
      </c>
      <c r="D118" s="53"/>
      <c r="E118" s="15" t="s">
        <v>245</v>
      </c>
      <c r="F118" s="30"/>
      <c r="G118" s="31"/>
      <c r="H118" s="30"/>
      <c r="I118" s="58"/>
      <c r="J118" s="30"/>
      <c r="K118" s="58"/>
      <c r="L118" s="30"/>
      <c r="M118" s="58"/>
      <c r="N118" s="30"/>
      <c r="O118" s="58"/>
      <c r="P118" s="30"/>
      <c r="Q118" s="58"/>
      <c r="R118" s="30"/>
      <c r="S118" s="58"/>
      <c r="T118" s="30"/>
      <c r="U118" s="58"/>
      <c r="V118" s="30"/>
      <c r="W118" s="58"/>
      <c r="X118" s="30"/>
      <c r="Y118" s="58"/>
      <c r="Z118" s="30"/>
      <c r="AA118" s="58"/>
      <c r="AB118" s="30"/>
      <c r="AC118" s="58"/>
      <c r="AD118" s="30"/>
      <c r="AE118" s="58"/>
      <c r="AF118" s="55">
        <v>100000</v>
      </c>
      <c r="AG118" s="12">
        <f>+F118++H118++J118++L118++N118++P118++R118++T118++V118++X118++Z118++AB118++AD118+0</f>
        <v>0</v>
      </c>
      <c r="AH118" s="11">
        <f>G118+I118+K118+M118+O118+Q118+S118+U118+W118+Y118+AA118+AC118+AE118+0</f>
        <v>0</v>
      </c>
      <c r="AI118" s="6"/>
    </row>
    <row r="119" spans="1:35" x14ac:dyDescent="0.2">
      <c r="A119" s="4"/>
      <c r="B119" s="17">
        <v>111</v>
      </c>
      <c r="C119" s="41" t="s">
        <v>246</v>
      </c>
      <c r="D119" s="53"/>
      <c r="E119" s="15" t="s">
        <v>247</v>
      </c>
      <c r="F119" s="30"/>
      <c r="G119" s="31"/>
      <c r="H119" s="30"/>
      <c r="I119" s="58"/>
      <c r="J119" s="30"/>
      <c r="K119" s="58"/>
      <c r="L119" s="30"/>
      <c r="M119" s="58"/>
      <c r="N119" s="30"/>
      <c r="O119" s="58"/>
      <c r="P119" s="30"/>
      <c r="Q119" s="58"/>
      <c r="R119" s="30"/>
      <c r="S119" s="58"/>
      <c r="T119" s="30"/>
      <c r="U119" s="58"/>
      <c r="V119" s="30"/>
      <c r="W119" s="58"/>
      <c r="X119" s="30"/>
      <c r="Y119" s="58"/>
      <c r="Z119" s="30"/>
      <c r="AA119" s="58"/>
      <c r="AB119" s="30"/>
      <c r="AC119" s="58"/>
      <c r="AD119" s="30"/>
      <c r="AE119" s="58"/>
      <c r="AF119" s="55">
        <v>30000</v>
      </c>
      <c r="AG119" s="12">
        <f>+F119++H119++J119++L119++N119++P119++R119++T119++V119++X119++Z119++AB119++AD119+0</f>
        <v>0</v>
      </c>
      <c r="AH119" s="11">
        <f>G119+I119+K119+M119+O119+Q119+S119+U119+W119+Y119+AA119+AC119+AE119+0</f>
        <v>0</v>
      </c>
      <c r="AI119" s="6"/>
    </row>
    <row r="120" spans="1:35" x14ac:dyDescent="0.2">
      <c r="A120" s="4"/>
      <c r="B120" s="17">
        <v>112</v>
      </c>
      <c r="C120" s="41" t="s">
        <v>248</v>
      </c>
      <c r="D120" s="53"/>
      <c r="E120" s="15" t="s">
        <v>249</v>
      </c>
      <c r="F120" s="30"/>
      <c r="G120" s="31"/>
      <c r="H120" s="30"/>
      <c r="I120" s="58"/>
      <c r="J120" s="30"/>
      <c r="K120" s="58"/>
      <c r="L120" s="30"/>
      <c r="M120" s="58"/>
      <c r="N120" s="30"/>
      <c r="O120" s="58"/>
      <c r="P120" s="30"/>
      <c r="Q120" s="58"/>
      <c r="R120" s="30"/>
      <c r="S120" s="58"/>
      <c r="T120" s="30"/>
      <c r="U120" s="58"/>
      <c r="V120" s="30"/>
      <c r="W120" s="58"/>
      <c r="X120" s="30"/>
      <c r="Y120" s="58"/>
      <c r="Z120" s="30"/>
      <c r="AA120" s="58"/>
      <c r="AB120" s="30"/>
      <c r="AC120" s="58"/>
      <c r="AD120" s="30"/>
      <c r="AE120" s="58"/>
      <c r="AF120" s="55">
        <v>20000</v>
      </c>
      <c r="AG120" s="12">
        <f>+F120++H120++J120++L120++N120++P120++R120++T120++V120++X120++Z120++AB120++AD120+0</f>
        <v>0</v>
      </c>
      <c r="AH120" s="11">
        <f>G120+I120+K120+M120+O120+Q120+S120+U120+W120+Y120+AA120+AC120+AE120+0</f>
        <v>0</v>
      </c>
      <c r="AI120" s="6"/>
    </row>
    <row r="121" spans="1:35" x14ac:dyDescent="0.2">
      <c r="A121" s="4"/>
      <c r="B121" s="17">
        <v>113</v>
      </c>
      <c r="C121" s="41" t="s">
        <v>250</v>
      </c>
      <c r="D121" s="53"/>
      <c r="E121" s="15" t="s">
        <v>251</v>
      </c>
      <c r="F121" s="30"/>
      <c r="G121" s="31"/>
      <c r="H121" s="30"/>
      <c r="I121" s="58"/>
      <c r="J121" s="30"/>
      <c r="K121" s="58"/>
      <c r="L121" s="30"/>
      <c r="M121" s="58"/>
      <c r="N121" s="30"/>
      <c r="O121" s="58"/>
      <c r="P121" s="30"/>
      <c r="Q121" s="58"/>
      <c r="R121" s="30"/>
      <c r="S121" s="58"/>
      <c r="T121" s="30"/>
      <c r="U121" s="58"/>
      <c r="V121" s="30"/>
      <c r="W121" s="58"/>
      <c r="X121" s="30"/>
      <c r="Y121" s="58"/>
      <c r="Z121" s="30"/>
      <c r="AA121" s="58"/>
      <c r="AB121" s="30"/>
      <c r="AC121" s="58"/>
      <c r="AD121" s="30"/>
      <c r="AE121" s="58"/>
      <c r="AF121" s="55">
        <v>25000</v>
      </c>
      <c r="AG121" s="12">
        <f>+F121++H121++J121++L121++N121++P121++R121++T121++V121++X121++Z121++AB121++AD121+0</f>
        <v>0</v>
      </c>
      <c r="AH121" s="11">
        <f>G121+I121+K121+M121+O121+Q121+S121+U121+W121+Y121+AA121+AC121+AE121+0</f>
        <v>0</v>
      </c>
      <c r="AI121" s="6"/>
    </row>
    <row r="122" spans="1:35" x14ac:dyDescent="0.2">
      <c r="A122" s="4"/>
      <c r="B122" s="17">
        <v>114</v>
      </c>
      <c r="C122" s="41" t="s">
        <v>252</v>
      </c>
      <c r="D122" s="53"/>
      <c r="E122" s="15" t="s">
        <v>253</v>
      </c>
      <c r="F122" s="30"/>
      <c r="G122" s="31"/>
      <c r="H122" s="30"/>
      <c r="I122" s="58"/>
      <c r="J122" s="30"/>
      <c r="K122" s="58"/>
      <c r="L122" s="30"/>
      <c r="M122" s="58"/>
      <c r="N122" s="30"/>
      <c r="O122" s="58"/>
      <c r="P122" s="30"/>
      <c r="Q122" s="58"/>
      <c r="R122" s="30"/>
      <c r="S122" s="58"/>
      <c r="T122" s="30"/>
      <c r="U122" s="58"/>
      <c r="V122" s="30"/>
      <c r="W122" s="58"/>
      <c r="X122" s="30"/>
      <c r="Y122" s="58"/>
      <c r="Z122" s="30"/>
      <c r="AA122" s="58"/>
      <c r="AB122" s="30"/>
      <c r="AC122" s="58"/>
      <c r="AD122" s="30"/>
      <c r="AE122" s="58"/>
      <c r="AF122" s="55">
        <v>11000</v>
      </c>
      <c r="AG122" s="12">
        <f>+F122++H122++J122++L122++N122++P122++R122++T122++V122++X122++Z122++AB122++AD122+0</f>
        <v>0</v>
      </c>
      <c r="AH122" s="11">
        <f>G122+I122+K122+M122+O122+Q122+S122+U122+W122+Y122+AA122+AC122+AE122+0</f>
        <v>0</v>
      </c>
      <c r="AI122" s="6"/>
    </row>
    <row r="123" spans="1:35" x14ac:dyDescent="0.2">
      <c r="A123" s="4"/>
      <c r="B123" s="17">
        <v>115</v>
      </c>
      <c r="C123" s="41" t="s">
        <v>254</v>
      </c>
      <c r="D123" s="53"/>
      <c r="E123" s="15" t="s">
        <v>255</v>
      </c>
      <c r="F123" s="30"/>
      <c r="G123" s="31"/>
      <c r="H123" s="30"/>
      <c r="I123" s="58"/>
      <c r="J123" s="30"/>
      <c r="K123" s="58"/>
      <c r="L123" s="30"/>
      <c r="M123" s="58"/>
      <c r="N123" s="30"/>
      <c r="O123" s="58"/>
      <c r="P123" s="30"/>
      <c r="Q123" s="58"/>
      <c r="R123" s="30"/>
      <c r="S123" s="58"/>
      <c r="T123" s="30"/>
      <c r="U123" s="58"/>
      <c r="V123" s="30"/>
      <c r="W123" s="58"/>
      <c r="X123" s="30"/>
      <c r="Y123" s="58"/>
      <c r="Z123" s="30"/>
      <c r="AA123" s="58"/>
      <c r="AB123" s="30"/>
      <c r="AC123" s="58"/>
      <c r="AD123" s="30"/>
      <c r="AE123" s="58"/>
      <c r="AF123" s="55">
        <v>50000</v>
      </c>
      <c r="AG123" s="12">
        <f>+F123++H123++J123++L123++N123++P123++R123++T123++V123++X123++Z123++AB123++AD123+0</f>
        <v>0</v>
      </c>
      <c r="AH123" s="11">
        <f>G123+I123+K123+M123+O123+Q123+S123+U123+W123+Y123+AA123+AC123+AE123+0</f>
        <v>0</v>
      </c>
      <c r="AI123" s="6"/>
    </row>
    <row r="124" spans="1:35" x14ac:dyDescent="0.2">
      <c r="A124" s="4"/>
      <c r="B124" s="17">
        <v>116</v>
      </c>
      <c r="C124" s="41" t="s">
        <v>256</v>
      </c>
      <c r="D124" s="53"/>
      <c r="E124" s="15" t="s">
        <v>257</v>
      </c>
      <c r="F124" s="30"/>
      <c r="G124" s="31"/>
      <c r="H124" s="30"/>
      <c r="I124" s="58"/>
      <c r="J124" s="30"/>
      <c r="K124" s="58"/>
      <c r="L124" s="30"/>
      <c r="M124" s="58"/>
      <c r="N124" s="30"/>
      <c r="O124" s="58"/>
      <c r="P124" s="30"/>
      <c r="Q124" s="58"/>
      <c r="R124" s="30"/>
      <c r="S124" s="58"/>
      <c r="T124" s="30"/>
      <c r="U124" s="58"/>
      <c r="V124" s="30"/>
      <c r="W124" s="58"/>
      <c r="X124" s="30"/>
      <c r="Y124" s="58"/>
      <c r="Z124" s="30"/>
      <c r="AA124" s="58"/>
      <c r="AB124" s="30"/>
      <c r="AC124" s="58"/>
      <c r="AD124" s="30"/>
      <c r="AE124" s="58"/>
      <c r="AF124" s="55">
        <v>61000</v>
      </c>
      <c r="AG124" s="12">
        <f>+F124++H124++J124++L124++N124++P124++R124++T124++V124++X124++Z124++AB124++AD124+0</f>
        <v>0</v>
      </c>
      <c r="AH124" s="11">
        <f>G124+I124+K124+M124+O124+Q124+S124+U124+W124+Y124+AA124+AC124+AE124+0</f>
        <v>0</v>
      </c>
      <c r="AI124" s="6"/>
    </row>
    <row r="125" spans="1:35" x14ac:dyDescent="0.2">
      <c r="A125" s="4"/>
      <c r="B125" s="17">
        <v>117</v>
      </c>
      <c r="C125" s="41" t="s">
        <v>258</v>
      </c>
      <c r="D125" s="53"/>
      <c r="E125" s="15" t="s">
        <v>259</v>
      </c>
      <c r="F125" s="30"/>
      <c r="G125" s="31"/>
      <c r="H125" s="30"/>
      <c r="I125" s="58"/>
      <c r="J125" s="30"/>
      <c r="K125" s="58"/>
      <c r="L125" s="30"/>
      <c r="M125" s="58"/>
      <c r="N125" s="30"/>
      <c r="O125" s="58"/>
      <c r="P125" s="30"/>
      <c r="Q125" s="58"/>
      <c r="R125" s="30"/>
      <c r="S125" s="58"/>
      <c r="T125" s="30"/>
      <c r="U125" s="58"/>
      <c r="V125" s="30"/>
      <c r="W125" s="58"/>
      <c r="X125" s="30"/>
      <c r="Y125" s="58"/>
      <c r="Z125" s="30"/>
      <c r="AA125" s="58"/>
      <c r="AB125" s="30"/>
      <c r="AC125" s="58"/>
      <c r="AD125" s="30"/>
      <c r="AE125" s="58"/>
      <c r="AF125" s="55">
        <v>8000</v>
      </c>
      <c r="AG125" s="12">
        <f>+F125++H125++J125++L125++N125++P125++R125++T125++V125++X125++Z125++AB125++AD125+0</f>
        <v>0</v>
      </c>
      <c r="AH125" s="11">
        <f>G125+I125+K125+M125+O125+Q125+S125+U125+W125+Y125+AA125+AC125+AE125+0</f>
        <v>0</v>
      </c>
      <c r="AI125" s="6"/>
    </row>
    <row r="126" spans="1:35" x14ac:dyDescent="0.2">
      <c r="A126" s="4"/>
      <c r="B126" s="17">
        <v>118</v>
      </c>
      <c r="C126" s="41" t="s">
        <v>260</v>
      </c>
      <c r="D126" s="53"/>
      <c r="E126" s="15" t="s">
        <v>261</v>
      </c>
      <c r="F126" s="30"/>
      <c r="G126" s="31"/>
      <c r="H126" s="30"/>
      <c r="I126" s="58"/>
      <c r="J126" s="30"/>
      <c r="K126" s="58"/>
      <c r="L126" s="30"/>
      <c r="M126" s="58"/>
      <c r="N126" s="30"/>
      <c r="O126" s="58"/>
      <c r="P126" s="30"/>
      <c r="Q126" s="58"/>
      <c r="R126" s="30"/>
      <c r="S126" s="58"/>
      <c r="T126" s="30"/>
      <c r="U126" s="58"/>
      <c r="V126" s="30"/>
      <c r="W126" s="58"/>
      <c r="X126" s="30"/>
      <c r="Y126" s="58"/>
      <c r="Z126" s="30"/>
      <c r="AA126" s="58"/>
      <c r="AB126" s="30"/>
      <c r="AC126" s="58"/>
      <c r="AD126" s="30"/>
      <c r="AE126" s="58"/>
      <c r="AF126" s="55">
        <v>30000</v>
      </c>
      <c r="AG126" s="12">
        <f>+F126++H126++J126++L126++N126++P126++R126++T126++V126++X126++Z126++AB126++AD126+0</f>
        <v>0</v>
      </c>
      <c r="AH126" s="11">
        <f>G126+I126+K126+M126+O126+Q126+S126+U126+W126+Y126+AA126+AC126+AE126+0</f>
        <v>0</v>
      </c>
      <c r="AI126" s="6"/>
    </row>
    <row r="127" spans="1:35" x14ac:dyDescent="0.2">
      <c r="A127" s="4"/>
      <c r="B127" s="17">
        <v>119</v>
      </c>
      <c r="C127" s="41" t="s">
        <v>262</v>
      </c>
      <c r="D127" s="53"/>
      <c r="E127" s="15" t="s">
        <v>263</v>
      </c>
      <c r="F127" s="30"/>
      <c r="G127" s="31"/>
      <c r="H127" s="30"/>
      <c r="I127" s="58"/>
      <c r="J127" s="30"/>
      <c r="K127" s="58"/>
      <c r="L127" s="30"/>
      <c r="M127" s="58"/>
      <c r="N127" s="30"/>
      <c r="O127" s="58"/>
      <c r="P127" s="30"/>
      <c r="Q127" s="58"/>
      <c r="R127" s="30"/>
      <c r="S127" s="58"/>
      <c r="T127" s="30"/>
      <c r="U127" s="58"/>
      <c r="V127" s="30"/>
      <c r="W127" s="58"/>
      <c r="X127" s="30"/>
      <c r="Y127" s="58"/>
      <c r="Z127" s="30"/>
      <c r="AA127" s="58"/>
      <c r="AB127" s="30"/>
      <c r="AC127" s="58"/>
      <c r="AD127" s="30"/>
      <c r="AE127" s="58"/>
      <c r="AF127" s="55">
        <v>370000</v>
      </c>
      <c r="AG127" s="12">
        <f>+F127++H127++J127++L127++N127++P127++R127++T127++V127++X127++Z127++AB127++AD127+0</f>
        <v>0</v>
      </c>
      <c r="AH127" s="11">
        <f>G127+I127+K127+M127+O127+Q127+S127+U127+W127+Y127+AA127+AC127+AE127+0</f>
        <v>0</v>
      </c>
      <c r="AI127" s="6"/>
    </row>
    <row r="128" spans="1:35" x14ac:dyDescent="0.2">
      <c r="A128" s="4"/>
      <c r="B128" s="17">
        <v>120</v>
      </c>
      <c r="C128" s="41" t="s">
        <v>264</v>
      </c>
      <c r="D128" s="53"/>
      <c r="E128" s="15" t="s">
        <v>265</v>
      </c>
      <c r="F128" s="30"/>
      <c r="G128" s="31"/>
      <c r="H128" s="30"/>
      <c r="I128" s="58"/>
      <c r="J128" s="30"/>
      <c r="K128" s="58"/>
      <c r="L128" s="30"/>
      <c r="M128" s="58"/>
      <c r="N128" s="30"/>
      <c r="O128" s="58"/>
      <c r="P128" s="30"/>
      <c r="Q128" s="58"/>
      <c r="R128" s="30"/>
      <c r="S128" s="58"/>
      <c r="T128" s="30"/>
      <c r="U128" s="58"/>
      <c r="V128" s="30"/>
      <c r="W128" s="58"/>
      <c r="X128" s="30"/>
      <c r="Y128" s="58"/>
      <c r="Z128" s="30"/>
      <c r="AA128" s="58"/>
      <c r="AB128" s="30"/>
      <c r="AC128" s="58"/>
      <c r="AD128" s="30"/>
      <c r="AE128" s="58"/>
      <c r="AF128" s="55">
        <v>25000</v>
      </c>
      <c r="AG128" s="12">
        <f>+F128++H128++J128++L128++N128++P128++R128++T128++V128++X128++Z128++AB128++AD128+0</f>
        <v>0</v>
      </c>
      <c r="AH128" s="11">
        <f>G128+I128+K128+M128+O128+Q128+S128+U128+W128+Y128+AA128+AC128+AE128+0</f>
        <v>0</v>
      </c>
      <c r="AI128" s="6"/>
    </row>
    <row r="129" spans="1:35" x14ac:dyDescent="0.2">
      <c r="A129" s="4"/>
      <c r="B129" s="17">
        <v>121</v>
      </c>
      <c r="C129" s="41" t="s">
        <v>266</v>
      </c>
      <c r="D129" s="53"/>
      <c r="E129" s="15" t="s">
        <v>267</v>
      </c>
      <c r="F129" s="30"/>
      <c r="G129" s="31"/>
      <c r="H129" s="30"/>
      <c r="I129" s="58"/>
      <c r="J129" s="30"/>
      <c r="K129" s="58"/>
      <c r="L129" s="30"/>
      <c r="M129" s="58"/>
      <c r="N129" s="30"/>
      <c r="O129" s="58"/>
      <c r="P129" s="30"/>
      <c r="Q129" s="58"/>
      <c r="R129" s="30"/>
      <c r="S129" s="58"/>
      <c r="T129" s="30"/>
      <c r="U129" s="58"/>
      <c r="V129" s="30"/>
      <c r="W129" s="58"/>
      <c r="X129" s="30"/>
      <c r="Y129" s="58"/>
      <c r="Z129" s="30"/>
      <c r="AA129" s="58"/>
      <c r="AB129" s="30"/>
      <c r="AC129" s="58"/>
      <c r="AD129" s="30"/>
      <c r="AE129" s="58"/>
      <c r="AF129" s="55">
        <v>40000</v>
      </c>
      <c r="AG129" s="12">
        <f>+F129++H129++J129++L129++N129++P129++R129++T129++V129++X129++Z129++AB129++AD129+0</f>
        <v>0</v>
      </c>
      <c r="AH129" s="11">
        <f>G129+I129+K129+M129+O129+Q129+S129+U129+W129+Y129+AA129+AC129+AE129+0</f>
        <v>0</v>
      </c>
      <c r="AI129" s="6"/>
    </row>
    <row r="130" spans="1:35" x14ac:dyDescent="0.2">
      <c r="A130" s="4"/>
      <c r="B130" s="17">
        <v>122</v>
      </c>
      <c r="C130" s="41" t="s">
        <v>268</v>
      </c>
      <c r="D130" s="53"/>
      <c r="E130" s="15" t="s">
        <v>269</v>
      </c>
      <c r="F130" s="30"/>
      <c r="G130" s="31"/>
      <c r="H130" s="30"/>
      <c r="I130" s="58"/>
      <c r="J130" s="30"/>
      <c r="K130" s="58"/>
      <c r="L130" s="30"/>
      <c r="M130" s="58"/>
      <c r="N130" s="30"/>
      <c r="O130" s="58"/>
      <c r="P130" s="30"/>
      <c r="Q130" s="58"/>
      <c r="R130" s="30"/>
      <c r="S130" s="58"/>
      <c r="T130" s="30"/>
      <c r="U130" s="58"/>
      <c r="V130" s="30"/>
      <c r="W130" s="58"/>
      <c r="X130" s="30"/>
      <c r="Y130" s="58"/>
      <c r="Z130" s="30"/>
      <c r="AA130" s="58"/>
      <c r="AB130" s="30"/>
      <c r="AC130" s="58"/>
      <c r="AD130" s="30"/>
      <c r="AE130" s="58"/>
      <c r="AF130" s="55">
        <v>55000</v>
      </c>
      <c r="AG130" s="12">
        <f>+F130++H130++J130++L130++N130++P130++R130++T130++V130++X130++Z130++AB130++AD130+0</f>
        <v>0</v>
      </c>
      <c r="AH130" s="11">
        <f>G130+I130+K130+M130+O130+Q130+S130+U130+W130+Y130+AA130+AC130+AE130+0</f>
        <v>0</v>
      </c>
      <c r="AI130" s="6"/>
    </row>
    <row r="131" spans="1:35" x14ac:dyDescent="0.2">
      <c r="A131" s="4"/>
      <c r="B131" s="17">
        <v>123</v>
      </c>
      <c r="C131" s="41" t="s">
        <v>270</v>
      </c>
      <c r="D131" s="53"/>
      <c r="E131" s="15" t="s">
        <v>271</v>
      </c>
      <c r="F131" s="30"/>
      <c r="G131" s="31"/>
      <c r="H131" s="30"/>
      <c r="I131" s="58"/>
      <c r="J131" s="30"/>
      <c r="K131" s="58"/>
      <c r="L131" s="30"/>
      <c r="M131" s="58"/>
      <c r="N131" s="30"/>
      <c r="O131" s="58"/>
      <c r="P131" s="30"/>
      <c r="Q131" s="58"/>
      <c r="R131" s="30"/>
      <c r="S131" s="58"/>
      <c r="T131" s="30"/>
      <c r="U131" s="58"/>
      <c r="V131" s="30"/>
      <c r="W131" s="58"/>
      <c r="X131" s="30"/>
      <c r="Y131" s="58"/>
      <c r="Z131" s="30"/>
      <c r="AA131" s="58"/>
      <c r="AB131" s="30"/>
      <c r="AC131" s="58"/>
      <c r="AD131" s="30"/>
      <c r="AE131" s="58"/>
      <c r="AF131" s="55">
        <v>45000</v>
      </c>
      <c r="AG131" s="12">
        <f>+F131++H131++J131++L131++N131++P131++R131++T131++V131++X131++Z131++AB131++AD131+0</f>
        <v>0</v>
      </c>
      <c r="AH131" s="11">
        <f>G131+I131+K131+M131+O131+Q131+S131+U131+W131+Y131+AA131+AC131+AE131+0</f>
        <v>0</v>
      </c>
      <c r="AI131" s="6"/>
    </row>
    <row r="132" spans="1:35" x14ac:dyDescent="0.2">
      <c r="A132" s="4"/>
      <c r="B132" s="17">
        <v>124</v>
      </c>
      <c r="C132" s="41" t="s">
        <v>272</v>
      </c>
      <c r="D132" s="53"/>
      <c r="E132" s="15" t="s">
        <v>273</v>
      </c>
      <c r="F132" s="30"/>
      <c r="G132" s="31"/>
      <c r="H132" s="30"/>
      <c r="I132" s="58"/>
      <c r="J132" s="30"/>
      <c r="K132" s="58"/>
      <c r="L132" s="30"/>
      <c r="M132" s="58"/>
      <c r="N132" s="30"/>
      <c r="O132" s="58"/>
      <c r="P132" s="30"/>
      <c r="Q132" s="58"/>
      <c r="R132" s="30"/>
      <c r="S132" s="58"/>
      <c r="T132" s="30"/>
      <c r="U132" s="58"/>
      <c r="V132" s="30"/>
      <c r="W132" s="58"/>
      <c r="X132" s="30"/>
      <c r="Y132" s="58"/>
      <c r="Z132" s="30"/>
      <c r="AA132" s="58"/>
      <c r="AB132" s="30"/>
      <c r="AC132" s="58"/>
      <c r="AD132" s="30"/>
      <c r="AE132" s="58"/>
      <c r="AF132" s="55">
        <v>50000</v>
      </c>
      <c r="AG132" s="12">
        <f>+F132++H132++J132++L132++N132++P132++R132++T132++V132++X132++Z132++AB132++AD132+0</f>
        <v>0</v>
      </c>
      <c r="AH132" s="11">
        <f>G132+I132+K132+M132+O132+Q132+S132+U132+W132+Y132+AA132+AC132+AE132+0</f>
        <v>0</v>
      </c>
      <c r="AI132" s="6"/>
    </row>
    <row r="133" spans="1:35" x14ac:dyDescent="0.2">
      <c r="A133" s="4"/>
      <c r="B133" s="17">
        <v>125</v>
      </c>
      <c r="C133" s="41" t="s">
        <v>274</v>
      </c>
      <c r="D133" s="53"/>
      <c r="E133" s="15" t="s">
        <v>275</v>
      </c>
      <c r="F133" s="30"/>
      <c r="G133" s="31"/>
      <c r="H133" s="30"/>
      <c r="I133" s="58"/>
      <c r="J133" s="30"/>
      <c r="K133" s="58"/>
      <c r="L133" s="30"/>
      <c r="M133" s="58"/>
      <c r="N133" s="30"/>
      <c r="O133" s="58"/>
      <c r="P133" s="30"/>
      <c r="Q133" s="58"/>
      <c r="R133" s="30"/>
      <c r="S133" s="58"/>
      <c r="T133" s="30"/>
      <c r="U133" s="58"/>
      <c r="V133" s="30"/>
      <c r="W133" s="58"/>
      <c r="X133" s="30"/>
      <c r="Y133" s="58"/>
      <c r="Z133" s="30"/>
      <c r="AA133" s="58"/>
      <c r="AB133" s="30"/>
      <c r="AC133" s="58"/>
      <c r="AD133" s="30"/>
      <c r="AE133" s="58"/>
      <c r="AF133" s="55">
        <v>40000</v>
      </c>
      <c r="AG133" s="12">
        <f>+F133++H133++J133++L133++N133++P133++R133++T133++V133++X133++Z133++AB133++AD133+0</f>
        <v>0</v>
      </c>
      <c r="AH133" s="11">
        <f>G133+I133+K133+M133+O133+Q133+S133+U133+W133+Y133+AA133+AC133+AE133+0</f>
        <v>0</v>
      </c>
      <c r="AI133" s="6"/>
    </row>
    <row r="134" spans="1:35" x14ac:dyDescent="0.2">
      <c r="A134" s="4"/>
      <c r="B134" s="17">
        <v>126</v>
      </c>
      <c r="C134" s="41" t="s">
        <v>276</v>
      </c>
      <c r="D134" s="53"/>
      <c r="E134" s="15" t="s">
        <v>277</v>
      </c>
      <c r="F134" s="30"/>
      <c r="G134" s="31"/>
      <c r="H134" s="30"/>
      <c r="I134" s="58"/>
      <c r="J134" s="30"/>
      <c r="K134" s="58"/>
      <c r="L134" s="30"/>
      <c r="M134" s="58"/>
      <c r="N134" s="30"/>
      <c r="O134" s="58"/>
      <c r="P134" s="30"/>
      <c r="Q134" s="58"/>
      <c r="R134" s="30"/>
      <c r="S134" s="58"/>
      <c r="T134" s="30"/>
      <c r="U134" s="58"/>
      <c r="V134" s="30"/>
      <c r="W134" s="58"/>
      <c r="X134" s="30"/>
      <c r="Y134" s="58"/>
      <c r="Z134" s="30"/>
      <c r="AA134" s="58"/>
      <c r="AB134" s="30"/>
      <c r="AC134" s="58"/>
      <c r="AD134" s="30"/>
      <c r="AE134" s="58"/>
      <c r="AF134" s="55">
        <v>25000</v>
      </c>
      <c r="AG134" s="12">
        <f>+F134++H134++J134++L134++N134++P134++R134++T134++V134++X134++Z134++AB134++AD134+0</f>
        <v>0</v>
      </c>
      <c r="AH134" s="11">
        <f>G134+I134+K134+M134+O134+Q134+S134+U134+W134+Y134+AA134+AC134+AE134+0</f>
        <v>0</v>
      </c>
      <c r="AI134" s="6"/>
    </row>
    <row r="135" spans="1:35" x14ac:dyDescent="0.2">
      <c r="A135" s="4"/>
      <c r="B135" s="17">
        <v>127</v>
      </c>
      <c r="C135" s="41" t="s">
        <v>278</v>
      </c>
      <c r="D135" s="53"/>
      <c r="E135" s="15" t="s">
        <v>279</v>
      </c>
      <c r="F135" s="30"/>
      <c r="G135" s="31"/>
      <c r="H135" s="30"/>
      <c r="I135" s="58"/>
      <c r="J135" s="30"/>
      <c r="K135" s="58"/>
      <c r="L135" s="30"/>
      <c r="M135" s="58"/>
      <c r="N135" s="30"/>
      <c r="O135" s="58"/>
      <c r="P135" s="30"/>
      <c r="Q135" s="58"/>
      <c r="R135" s="30"/>
      <c r="S135" s="58"/>
      <c r="T135" s="30"/>
      <c r="U135" s="58"/>
      <c r="V135" s="30"/>
      <c r="W135" s="58"/>
      <c r="X135" s="30"/>
      <c r="Y135" s="58"/>
      <c r="Z135" s="30"/>
      <c r="AA135" s="58"/>
      <c r="AB135" s="30"/>
      <c r="AC135" s="58"/>
      <c r="AD135" s="30"/>
      <c r="AE135" s="58"/>
      <c r="AF135" s="55">
        <v>25000</v>
      </c>
      <c r="AG135" s="12">
        <f>+F135++H135++J135++L135++N135++P135++R135++T135++V135++X135++Z135++AB135++AD135+0</f>
        <v>0</v>
      </c>
      <c r="AH135" s="11">
        <f>G135+I135+K135+M135+O135+Q135+S135+U135+W135+Y135+AA135+AC135+AE135+0</f>
        <v>0</v>
      </c>
      <c r="AI135" s="6"/>
    </row>
    <row r="136" spans="1:35" x14ac:dyDescent="0.2">
      <c r="A136" s="4"/>
      <c r="B136" s="17">
        <v>128</v>
      </c>
      <c r="C136" s="41" t="s">
        <v>280</v>
      </c>
      <c r="D136" s="53"/>
      <c r="E136" s="15" t="s">
        <v>281</v>
      </c>
      <c r="F136" s="30"/>
      <c r="G136" s="31"/>
      <c r="H136" s="30"/>
      <c r="I136" s="58"/>
      <c r="J136" s="30"/>
      <c r="K136" s="58"/>
      <c r="L136" s="30"/>
      <c r="M136" s="58"/>
      <c r="N136" s="30"/>
      <c r="O136" s="58"/>
      <c r="P136" s="30"/>
      <c r="Q136" s="58"/>
      <c r="R136" s="30"/>
      <c r="S136" s="58"/>
      <c r="T136" s="30"/>
      <c r="U136" s="58"/>
      <c r="V136" s="30"/>
      <c r="W136" s="58"/>
      <c r="X136" s="30"/>
      <c r="Y136" s="58"/>
      <c r="Z136" s="30"/>
      <c r="AA136" s="58"/>
      <c r="AB136" s="30"/>
      <c r="AC136" s="58"/>
      <c r="AD136" s="30"/>
      <c r="AE136" s="58"/>
      <c r="AF136" s="55">
        <v>50000</v>
      </c>
      <c r="AG136" s="12">
        <f>+F136++H136++J136++L136++N136++P136++R136++T136++V136++X136++Z136++AB136++AD136+0</f>
        <v>0</v>
      </c>
      <c r="AH136" s="11">
        <f>G136+I136+K136+M136+O136+Q136+S136+U136+W136+Y136+AA136+AC136+AE136+0</f>
        <v>0</v>
      </c>
      <c r="AI136" s="6"/>
    </row>
    <row r="137" spans="1:35" x14ac:dyDescent="0.2">
      <c r="A137" s="4"/>
      <c r="B137" s="17">
        <v>129</v>
      </c>
      <c r="C137" s="41" t="s">
        <v>282</v>
      </c>
      <c r="D137" s="53"/>
      <c r="E137" s="15" t="s">
        <v>283</v>
      </c>
      <c r="F137" s="30"/>
      <c r="G137" s="31"/>
      <c r="H137" s="30"/>
      <c r="I137" s="58"/>
      <c r="J137" s="30"/>
      <c r="K137" s="58"/>
      <c r="L137" s="30"/>
      <c r="M137" s="58"/>
      <c r="N137" s="30"/>
      <c r="O137" s="58"/>
      <c r="P137" s="30"/>
      <c r="Q137" s="58"/>
      <c r="R137" s="30"/>
      <c r="S137" s="58"/>
      <c r="T137" s="30"/>
      <c r="U137" s="58"/>
      <c r="V137" s="30"/>
      <c r="W137" s="58"/>
      <c r="X137" s="30"/>
      <c r="Y137" s="58"/>
      <c r="Z137" s="30"/>
      <c r="AA137" s="58"/>
      <c r="AB137" s="30"/>
      <c r="AC137" s="58"/>
      <c r="AD137" s="30"/>
      <c r="AE137" s="58"/>
      <c r="AF137" s="55">
        <v>100000</v>
      </c>
      <c r="AG137" s="12">
        <f>+F137++H137++J137++L137++N137++P137++R137++T137++V137++X137++Z137++AB137++AD137+0</f>
        <v>0</v>
      </c>
      <c r="AH137" s="11">
        <f>G137+I137+K137+M137+O137+Q137+S137+U137+W137+Y137+AA137+AC137+AE137+0</f>
        <v>0</v>
      </c>
      <c r="AI137" s="6"/>
    </row>
    <row r="138" spans="1:35" x14ac:dyDescent="0.2">
      <c r="A138" s="4"/>
      <c r="B138" s="17">
        <v>130</v>
      </c>
      <c r="C138" s="41" t="s">
        <v>284</v>
      </c>
      <c r="D138" s="53"/>
      <c r="E138" s="15" t="s">
        <v>285</v>
      </c>
      <c r="F138" s="30"/>
      <c r="G138" s="31"/>
      <c r="H138" s="30"/>
      <c r="I138" s="58"/>
      <c r="J138" s="30"/>
      <c r="K138" s="58"/>
      <c r="L138" s="30"/>
      <c r="M138" s="58"/>
      <c r="N138" s="30"/>
      <c r="O138" s="58"/>
      <c r="P138" s="30"/>
      <c r="Q138" s="58"/>
      <c r="R138" s="30"/>
      <c r="S138" s="58"/>
      <c r="T138" s="30"/>
      <c r="U138" s="58"/>
      <c r="V138" s="30"/>
      <c r="W138" s="58"/>
      <c r="X138" s="30"/>
      <c r="Y138" s="58"/>
      <c r="Z138" s="30"/>
      <c r="AA138" s="58"/>
      <c r="AB138" s="30"/>
      <c r="AC138" s="58"/>
      <c r="AD138" s="30"/>
      <c r="AE138" s="58"/>
      <c r="AF138" s="55">
        <v>38335</v>
      </c>
      <c r="AG138" s="12">
        <f>+F138++H138++J138++L138++N138++P138++R138++T138++V138++X138++Z138++AB138++AD138+0</f>
        <v>0</v>
      </c>
      <c r="AH138" s="11">
        <f>G138+I138+K138+M138+O138+Q138+S138+U138+W138+Y138+AA138+AC138+AE138+0</f>
        <v>0</v>
      </c>
      <c r="AI138" s="6"/>
    </row>
    <row r="139" spans="1:35" x14ac:dyDescent="0.2">
      <c r="A139" s="4"/>
      <c r="B139" s="17">
        <v>131</v>
      </c>
      <c r="C139" s="41" t="s">
        <v>286</v>
      </c>
      <c r="D139" s="53"/>
      <c r="E139" s="15" t="s">
        <v>287</v>
      </c>
      <c r="F139" s="30"/>
      <c r="G139" s="31"/>
      <c r="H139" s="30"/>
      <c r="I139" s="58"/>
      <c r="J139" s="30"/>
      <c r="K139" s="58"/>
      <c r="L139" s="30"/>
      <c r="M139" s="58"/>
      <c r="N139" s="30"/>
      <c r="O139" s="58"/>
      <c r="P139" s="30"/>
      <c r="Q139" s="58"/>
      <c r="R139" s="30"/>
      <c r="S139" s="58"/>
      <c r="T139" s="30"/>
      <c r="U139" s="58"/>
      <c r="V139" s="30"/>
      <c r="W139" s="58"/>
      <c r="X139" s="30"/>
      <c r="Y139" s="58"/>
      <c r="Z139" s="30"/>
      <c r="AA139" s="58"/>
      <c r="AB139" s="30"/>
      <c r="AC139" s="58"/>
      <c r="AD139" s="30"/>
      <c r="AE139" s="58"/>
      <c r="AF139" s="55">
        <v>40000</v>
      </c>
      <c r="AG139" s="12">
        <f>+F139++H139++J139++L139++N139++P139++R139++T139++V139++X139++Z139++AB139++AD139+0</f>
        <v>0</v>
      </c>
      <c r="AH139" s="11">
        <f>G139+I139+K139+M139+O139+Q139+S139+U139+W139+Y139+AA139+AC139+AE139+0</f>
        <v>0</v>
      </c>
      <c r="AI139" s="6"/>
    </row>
    <row r="140" spans="1:35" x14ac:dyDescent="0.2">
      <c r="A140" s="4"/>
      <c r="B140" s="17">
        <v>132</v>
      </c>
      <c r="C140" s="41" t="s">
        <v>288</v>
      </c>
      <c r="D140" s="53"/>
      <c r="E140" s="15" t="s">
        <v>289</v>
      </c>
      <c r="F140" s="30"/>
      <c r="G140" s="31"/>
      <c r="H140" s="30"/>
      <c r="I140" s="58"/>
      <c r="J140" s="30"/>
      <c r="K140" s="58"/>
      <c r="L140" s="30"/>
      <c r="M140" s="58"/>
      <c r="N140" s="30"/>
      <c r="O140" s="58"/>
      <c r="P140" s="30"/>
      <c r="Q140" s="58"/>
      <c r="R140" s="30"/>
      <c r="S140" s="58"/>
      <c r="T140" s="30"/>
      <c r="U140" s="58"/>
      <c r="V140" s="30"/>
      <c r="W140" s="58"/>
      <c r="X140" s="30"/>
      <c r="Y140" s="58"/>
      <c r="Z140" s="30"/>
      <c r="AA140" s="58"/>
      <c r="AB140" s="30"/>
      <c r="AC140" s="58"/>
      <c r="AD140" s="30"/>
      <c r="AE140" s="58"/>
      <c r="AF140" s="55">
        <v>90000</v>
      </c>
      <c r="AG140" s="12">
        <f>+F140++H140++J140++L140++N140++P140++R140++T140++V140++X140++Z140++AB140++AD140+0</f>
        <v>0</v>
      </c>
      <c r="AH140" s="11">
        <f>G140+I140+K140+M140+O140+Q140+S140+U140+W140+Y140+AA140+AC140+AE140+0</f>
        <v>0</v>
      </c>
      <c r="AI140" s="6"/>
    </row>
    <row r="141" spans="1:35" x14ac:dyDescent="0.2">
      <c r="A141" s="4"/>
      <c r="B141" s="17">
        <v>133</v>
      </c>
      <c r="C141" s="41" t="s">
        <v>290</v>
      </c>
      <c r="D141" s="53"/>
      <c r="E141" s="15" t="s">
        <v>291</v>
      </c>
      <c r="F141" s="30"/>
      <c r="G141" s="31"/>
      <c r="H141" s="30"/>
      <c r="I141" s="58"/>
      <c r="J141" s="30"/>
      <c r="K141" s="58"/>
      <c r="L141" s="30"/>
      <c r="M141" s="58"/>
      <c r="N141" s="30"/>
      <c r="O141" s="58"/>
      <c r="P141" s="30"/>
      <c r="Q141" s="58"/>
      <c r="R141" s="30"/>
      <c r="S141" s="58"/>
      <c r="T141" s="30"/>
      <c r="U141" s="58"/>
      <c r="V141" s="30"/>
      <c r="W141" s="58"/>
      <c r="X141" s="30"/>
      <c r="Y141" s="58"/>
      <c r="Z141" s="30"/>
      <c r="AA141" s="58"/>
      <c r="AB141" s="30"/>
      <c r="AC141" s="58"/>
      <c r="AD141" s="30"/>
      <c r="AE141" s="58"/>
      <c r="AF141" s="55">
        <v>90000</v>
      </c>
      <c r="AG141" s="12">
        <f>+F141++H141++J141++L141++N141++P141++R141++T141++V141++X141++Z141++AB141++AD141+0</f>
        <v>0</v>
      </c>
      <c r="AH141" s="11">
        <f>G141+I141+K141+M141+O141+Q141+S141+U141+W141+Y141+AA141+AC141+AE141+0</f>
        <v>0</v>
      </c>
      <c r="AI141" s="6"/>
    </row>
    <row r="142" spans="1:35" x14ac:dyDescent="0.2">
      <c r="A142" s="4"/>
      <c r="B142" s="17">
        <v>134</v>
      </c>
      <c r="C142" s="41" t="s">
        <v>292</v>
      </c>
      <c r="D142" s="53"/>
      <c r="E142" s="15" t="s">
        <v>293</v>
      </c>
      <c r="F142" s="30"/>
      <c r="G142" s="31"/>
      <c r="H142" s="30"/>
      <c r="I142" s="58"/>
      <c r="J142" s="30"/>
      <c r="K142" s="58"/>
      <c r="L142" s="30"/>
      <c r="M142" s="58"/>
      <c r="N142" s="30"/>
      <c r="O142" s="58"/>
      <c r="P142" s="30"/>
      <c r="Q142" s="58"/>
      <c r="R142" s="30"/>
      <c r="S142" s="58"/>
      <c r="T142" s="30"/>
      <c r="U142" s="58"/>
      <c r="V142" s="30"/>
      <c r="W142" s="58"/>
      <c r="X142" s="30"/>
      <c r="Y142" s="58"/>
      <c r="Z142" s="30"/>
      <c r="AA142" s="58"/>
      <c r="AB142" s="30"/>
      <c r="AC142" s="58"/>
      <c r="AD142" s="30"/>
      <c r="AE142" s="58"/>
      <c r="AF142" s="55">
        <v>15000</v>
      </c>
      <c r="AG142" s="12">
        <f>+F142++H142++J142++L142++N142++P142++R142++T142++V142++X142++Z142++AB142++AD142+0</f>
        <v>0</v>
      </c>
      <c r="AH142" s="11">
        <f>G142+I142+K142+M142+O142+Q142+S142+U142+W142+Y142+AA142+AC142+AE142+0</f>
        <v>0</v>
      </c>
      <c r="AI142" s="6"/>
    </row>
    <row r="143" spans="1:35" x14ac:dyDescent="0.2">
      <c r="A143" s="4"/>
      <c r="B143" s="17">
        <v>135</v>
      </c>
      <c r="C143" s="41" t="s">
        <v>294</v>
      </c>
      <c r="D143" s="53"/>
      <c r="E143" s="15" t="s">
        <v>295</v>
      </c>
      <c r="F143" s="30"/>
      <c r="G143" s="31"/>
      <c r="H143" s="30"/>
      <c r="I143" s="58"/>
      <c r="J143" s="30"/>
      <c r="K143" s="58"/>
      <c r="L143" s="30"/>
      <c r="M143" s="58"/>
      <c r="N143" s="30"/>
      <c r="O143" s="58"/>
      <c r="P143" s="30"/>
      <c r="Q143" s="58"/>
      <c r="R143" s="30"/>
      <c r="S143" s="58"/>
      <c r="T143" s="30"/>
      <c r="U143" s="58"/>
      <c r="V143" s="30"/>
      <c r="W143" s="58"/>
      <c r="X143" s="30"/>
      <c r="Y143" s="58"/>
      <c r="Z143" s="30"/>
      <c r="AA143" s="58"/>
      <c r="AB143" s="30"/>
      <c r="AC143" s="58"/>
      <c r="AD143" s="30"/>
      <c r="AE143" s="58"/>
      <c r="AF143" s="55">
        <v>60000</v>
      </c>
      <c r="AG143" s="12">
        <f>+F143++H143++J143++L143++N143++P143++R143++T143++V143++X143++Z143++AB143++AD143+0</f>
        <v>0</v>
      </c>
      <c r="AH143" s="11">
        <f>G143+I143+K143+M143+O143+Q143+S143+U143+W143+Y143+AA143+AC143+AE143+0</f>
        <v>0</v>
      </c>
      <c r="AI143" s="6"/>
    </row>
    <row r="144" spans="1:35" x14ac:dyDescent="0.2">
      <c r="A144" s="4"/>
      <c r="B144" s="17">
        <v>136</v>
      </c>
      <c r="C144" s="41" t="s">
        <v>296</v>
      </c>
      <c r="D144" s="53"/>
      <c r="E144" s="15" t="s">
        <v>297</v>
      </c>
      <c r="F144" s="30"/>
      <c r="G144" s="31"/>
      <c r="H144" s="30"/>
      <c r="I144" s="58"/>
      <c r="J144" s="30"/>
      <c r="K144" s="58"/>
      <c r="L144" s="30"/>
      <c r="M144" s="58"/>
      <c r="N144" s="30"/>
      <c r="O144" s="58"/>
      <c r="P144" s="30"/>
      <c r="Q144" s="58"/>
      <c r="R144" s="30"/>
      <c r="S144" s="58"/>
      <c r="T144" s="30"/>
      <c r="U144" s="58"/>
      <c r="V144" s="30"/>
      <c r="W144" s="58"/>
      <c r="X144" s="30"/>
      <c r="Y144" s="58"/>
      <c r="Z144" s="30"/>
      <c r="AA144" s="58"/>
      <c r="AB144" s="30"/>
      <c r="AC144" s="58"/>
      <c r="AD144" s="30"/>
      <c r="AE144" s="58"/>
      <c r="AF144" s="55">
        <v>175000</v>
      </c>
      <c r="AG144" s="12">
        <f>+F144++H144++J144++L144++N144++P144++R144++T144++V144++X144++Z144++AB144++AD144+0</f>
        <v>0</v>
      </c>
      <c r="AH144" s="11">
        <f>G144+I144+K144+M144+O144+Q144+S144+U144+W144+Y144+AA144+AC144+AE144+0</f>
        <v>0</v>
      </c>
      <c r="AI144" s="6"/>
    </row>
    <row r="145" spans="1:35" x14ac:dyDescent="0.2">
      <c r="A145" s="4"/>
      <c r="B145" s="17">
        <v>137</v>
      </c>
      <c r="C145" s="41" t="s">
        <v>298</v>
      </c>
      <c r="D145" s="53"/>
      <c r="E145" s="15" t="s">
        <v>299</v>
      </c>
      <c r="F145" s="30"/>
      <c r="G145" s="31"/>
      <c r="H145" s="30"/>
      <c r="I145" s="58"/>
      <c r="J145" s="30"/>
      <c r="K145" s="58"/>
      <c r="L145" s="30"/>
      <c r="M145" s="58"/>
      <c r="N145" s="30"/>
      <c r="O145" s="58"/>
      <c r="P145" s="30"/>
      <c r="Q145" s="58"/>
      <c r="R145" s="30"/>
      <c r="S145" s="58"/>
      <c r="T145" s="30"/>
      <c r="U145" s="58"/>
      <c r="V145" s="30"/>
      <c r="W145" s="58"/>
      <c r="X145" s="30"/>
      <c r="Y145" s="58"/>
      <c r="Z145" s="30"/>
      <c r="AA145" s="58"/>
      <c r="AB145" s="30"/>
      <c r="AC145" s="58"/>
      <c r="AD145" s="30"/>
      <c r="AE145" s="58"/>
      <c r="AF145" s="55">
        <v>7000</v>
      </c>
      <c r="AG145" s="12">
        <f>+F145++H145++J145++L145++N145++P145++R145++T145++V145++X145++Z145++AB145++AD145+0</f>
        <v>0</v>
      </c>
      <c r="AH145" s="11">
        <f>G145+I145+K145+M145+O145+Q145+S145+U145+W145+Y145+AA145+AC145+AE145+0</f>
        <v>0</v>
      </c>
      <c r="AI145" s="6"/>
    </row>
    <row r="146" spans="1:35" x14ac:dyDescent="0.2">
      <c r="A146" s="4"/>
      <c r="B146" s="17">
        <v>138</v>
      </c>
      <c r="C146" s="41" t="s">
        <v>300</v>
      </c>
      <c r="D146" s="53"/>
      <c r="E146" s="15" t="s">
        <v>301</v>
      </c>
      <c r="F146" s="30"/>
      <c r="G146" s="31"/>
      <c r="H146" s="30"/>
      <c r="I146" s="58"/>
      <c r="J146" s="30"/>
      <c r="K146" s="58"/>
      <c r="L146" s="30"/>
      <c r="M146" s="58"/>
      <c r="N146" s="30"/>
      <c r="O146" s="58"/>
      <c r="P146" s="30"/>
      <c r="Q146" s="58"/>
      <c r="R146" s="30"/>
      <c r="S146" s="58"/>
      <c r="T146" s="30"/>
      <c r="U146" s="58"/>
      <c r="V146" s="30"/>
      <c r="W146" s="58"/>
      <c r="X146" s="30"/>
      <c r="Y146" s="58"/>
      <c r="Z146" s="30"/>
      <c r="AA146" s="58"/>
      <c r="AB146" s="30"/>
      <c r="AC146" s="58"/>
      <c r="AD146" s="30"/>
      <c r="AE146" s="58"/>
      <c r="AF146" s="55">
        <v>60000</v>
      </c>
      <c r="AG146" s="12">
        <f>+F146++H146++J146++L146++N146++P146++R146++T146++V146++X146++Z146++AB146++AD146+0</f>
        <v>0</v>
      </c>
      <c r="AH146" s="11">
        <f>G146+I146+K146+M146+O146+Q146+S146+U146+W146+Y146+AA146+AC146+AE146+0</f>
        <v>0</v>
      </c>
      <c r="AI146" s="6"/>
    </row>
    <row r="147" spans="1:35" x14ac:dyDescent="0.2">
      <c r="A147" s="4"/>
      <c r="B147" s="17">
        <v>139</v>
      </c>
      <c r="C147" s="41" t="s">
        <v>302</v>
      </c>
      <c r="D147" s="53"/>
      <c r="E147" s="15" t="s">
        <v>303</v>
      </c>
      <c r="F147" s="30"/>
      <c r="G147" s="31"/>
      <c r="H147" s="30"/>
      <c r="I147" s="58"/>
      <c r="J147" s="30"/>
      <c r="K147" s="58"/>
      <c r="L147" s="30"/>
      <c r="M147" s="58"/>
      <c r="N147" s="30"/>
      <c r="O147" s="58"/>
      <c r="P147" s="30"/>
      <c r="Q147" s="58"/>
      <c r="R147" s="30"/>
      <c r="S147" s="58"/>
      <c r="T147" s="30"/>
      <c r="U147" s="58"/>
      <c r="V147" s="30"/>
      <c r="W147" s="58"/>
      <c r="X147" s="30"/>
      <c r="Y147" s="58"/>
      <c r="Z147" s="30"/>
      <c r="AA147" s="58"/>
      <c r="AB147" s="30"/>
      <c r="AC147" s="58"/>
      <c r="AD147" s="30"/>
      <c r="AE147" s="58"/>
      <c r="AF147" s="55">
        <v>70000</v>
      </c>
      <c r="AG147" s="12">
        <f>+F147++H147++J147++L147++N147++P147++R147++T147++V147++X147++Z147++AB147++AD147+0</f>
        <v>0</v>
      </c>
      <c r="AH147" s="11">
        <f>G147+I147+K147+M147+O147+Q147+S147+U147+W147+Y147+AA147+AC147+AE147+0</f>
        <v>0</v>
      </c>
      <c r="AI147" s="6"/>
    </row>
    <row r="148" spans="1:35" x14ac:dyDescent="0.2">
      <c r="A148" s="4"/>
      <c r="B148" s="17">
        <v>140</v>
      </c>
      <c r="C148" s="41" t="s">
        <v>304</v>
      </c>
      <c r="D148" s="53"/>
      <c r="E148" s="15" t="s">
        <v>305</v>
      </c>
      <c r="F148" s="30"/>
      <c r="G148" s="31"/>
      <c r="H148" s="30"/>
      <c r="I148" s="58"/>
      <c r="J148" s="30"/>
      <c r="K148" s="58"/>
      <c r="L148" s="30"/>
      <c r="M148" s="58"/>
      <c r="N148" s="30"/>
      <c r="O148" s="58"/>
      <c r="P148" s="30"/>
      <c r="Q148" s="58"/>
      <c r="R148" s="30"/>
      <c r="S148" s="58"/>
      <c r="T148" s="30"/>
      <c r="U148" s="58"/>
      <c r="V148" s="30"/>
      <c r="W148" s="58"/>
      <c r="X148" s="30"/>
      <c r="Y148" s="58"/>
      <c r="Z148" s="30"/>
      <c r="AA148" s="58"/>
      <c r="AB148" s="30"/>
      <c r="AC148" s="58"/>
      <c r="AD148" s="30"/>
      <c r="AE148" s="58"/>
      <c r="AF148" s="55">
        <v>35000</v>
      </c>
      <c r="AG148" s="12">
        <f>+F148++H148++J148++L148++N148++P148++R148++T148++V148++X148++Z148++AB148++AD148+0</f>
        <v>0</v>
      </c>
      <c r="AH148" s="11">
        <f>G148+I148+K148+M148+O148+Q148+S148+U148+W148+Y148+AA148+AC148+AE148+0</f>
        <v>0</v>
      </c>
      <c r="AI148" s="6"/>
    </row>
    <row r="149" spans="1:35" x14ac:dyDescent="0.2">
      <c r="A149" s="4"/>
      <c r="B149" s="17">
        <v>141</v>
      </c>
      <c r="C149" s="41" t="s">
        <v>306</v>
      </c>
      <c r="D149" s="53"/>
      <c r="E149" s="15" t="s">
        <v>307</v>
      </c>
      <c r="F149" s="30"/>
      <c r="G149" s="31"/>
      <c r="H149" s="30"/>
      <c r="I149" s="58"/>
      <c r="J149" s="30"/>
      <c r="K149" s="58"/>
      <c r="L149" s="30"/>
      <c r="M149" s="58"/>
      <c r="N149" s="30"/>
      <c r="O149" s="58"/>
      <c r="P149" s="30"/>
      <c r="Q149" s="58"/>
      <c r="R149" s="30"/>
      <c r="S149" s="58"/>
      <c r="T149" s="30"/>
      <c r="U149" s="58"/>
      <c r="V149" s="30"/>
      <c r="W149" s="58"/>
      <c r="X149" s="30"/>
      <c r="Y149" s="58"/>
      <c r="Z149" s="30"/>
      <c r="AA149" s="58"/>
      <c r="AB149" s="30"/>
      <c r="AC149" s="58"/>
      <c r="AD149" s="30"/>
      <c r="AE149" s="58"/>
      <c r="AF149" s="55">
        <v>30000</v>
      </c>
      <c r="AG149" s="12">
        <f>+F149++H149++J149++L149++N149++P149++R149++T149++V149++X149++Z149++AB149++AD149+0</f>
        <v>0</v>
      </c>
      <c r="AH149" s="11">
        <f>G149+I149+K149+M149+O149+Q149+S149+U149+W149+Y149+AA149+AC149+AE149+0</f>
        <v>0</v>
      </c>
      <c r="AI149" s="6"/>
    </row>
    <row r="150" spans="1:35" x14ac:dyDescent="0.2">
      <c r="A150" s="4"/>
      <c r="B150" s="17">
        <v>142</v>
      </c>
      <c r="C150" s="41" t="s">
        <v>308</v>
      </c>
      <c r="D150" s="53"/>
      <c r="E150" s="15" t="s">
        <v>309</v>
      </c>
      <c r="F150" s="30"/>
      <c r="G150" s="31"/>
      <c r="H150" s="30"/>
      <c r="I150" s="58"/>
      <c r="J150" s="30"/>
      <c r="K150" s="58"/>
      <c r="L150" s="30"/>
      <c r="M150" s="58"/>
      <c r="N150" s="30"/>
      <c r="O150" s="58"/>
      <c r="P150" s="30"/>
      <c r="Q150" s="58"/>
      <c r="R150" s="30"/>
      <c r="S150" s="58"/>
      <c r="T150" s="30"/>
      <c r="U150" s="58"/>
      <c r="V150" s="30"/>
      <c r="W150" s="58"/>
      <c r="X150" s="30"/>
      <c r="Y150" s="58"/>
      <c r="Z150" s="30"/>
      <c r="AA150" s="58"/>
      <c r="AB150" s="30"/>
      <c r="AC150" s="58"/>
      <c r="AD150" s="30"/>
      <c r="AE150" s="58"/>
      <c r="AF150" s="55">
        <v>35000</v>
      </c>
      <c r="AG150" s="12">
        <f>+F150++H150++J150++L150++N150++P150++R150++T150++V150++X150++Z150++AB150++AD150+0</f>
        <v>0</v>
      </c>
      <c r="AH150" s="11">
        <f>G150+I150+K150+M150+O150+Q150+S150+U150+W150+Y150+AA150+AC150+AE150+0</f>
        <v>0</v>
      </c>
      <c r="AI150" s="6"/>
    </row>
    <row r="151" spans="1:35" x14ac:dyDescent="0.2">
      <c r="A151" s="4"/>
      <c r="B151" s="17">
        <v>143</v>
      </c>
      <c r="C151" s="41" t="s">
        <v>310</v>
      </c>
      <c r="D151" s="53"/>
      <c r="E151" s="15" t="s">
        <v>311</v>
      </c>
      <c r="F151" s="30"/>
      <c r="G151" s="31"/>
      <c r="H151" s="30"/>
      <c r="I151" s="58"/>
      <c r="J151" s="30"/>
      <c r="K151" s="58"/>
      <c r="L151" s="30"/>
      <c r="M151" s="58"/>
      <c r="N151" s="30"/>
      <c r="O151" s="58"/>
      <c r="P151" s="30"/>
      <c r="Q151" s="58"/>
      <c r="R151" s="30"/>
      <c r="S151" s="58"/>
      <c r="T151" s="30"/>
      <c r="U151" s="58"/>
      <c r="V151" s="30"/>
      <c r="W151" s="58"/>
      <c r="X151" s="30"/>
      <c r="Y151" s="58"/>
      <c r="Z151" s="30"/>
      <c r="AA151" s="58"/>
      <c r="AB151" s="30"/>
      <c r="AC151" s="58"/>
      <c r="AD151" s="30"/>
      <c r="AE151" s="58"/>
      <c r="AF151" s="55">
        <v>40000</v>
      </c>
      <c r="AG151" s="12">
        <f>+F151++H151++J151++L151++N151++P151++R151++T151++V151++X151++Z151++AB151++AD151+0</f>
        <v>0</v>
      </c>
      <c r="AH151" s="11">
        <f>G151+I151+K151+M151+O151+Q151+S151+U151+W151+Y151+AA151+AC151+AE151+0</f>
        <v>0</v>
      </c>
      <c r="AI151" s="6"/>
    </row>
    <row r="152" spans="1:35" x14ac:dyDescent="0.2">
      <c r="A152" s="4"/>
      <c r="B152" s="17">
        <v>144</v>
      </c>
      <c r="C152" s="41" t="s">
        <v>312</v>
      </c>
      <c r="D152" s="53"/>
      <c r="E152" s="15" t="s">
        <v>313</v>
      </c>
      <c r="F152" s="30"/>
      <c r="G152" s="31"/>
      <c r="H152" s="30"/>
      <c r="I152" s="58"/>
      <c r="J152" s="30"/>
      <c r="K152" s="58"/>
      <c r="L152" s="30"/>
      <c r="M152" s="58"/>
      <c r="N152" s="30"/>
      <c r="O152" s="58"/>
      <c r="P152" s="30"/>
      <c r="Q152" s="58"/>
      <c r="R152" s="30"/>
      <c r="S152" s="58"/>
      <c r="T152" s="30"/>
      <c r="U152" s="58"/>
      <c r="V152" s="30"/>
      <c r="W152" s="58"/>
      <c r="X152" s="30"/>
      <c r="Y152" s="58"/>
      <c r="Z152" s="30"/>
      <c r="AA152" s="58"/>
      <c r="AB152" s="30"/>
      <c r="AC152" s="58"/>
      <c r="AD152" s="30"/>
      <c r="AE152" s="58"/>
      <c r="AF152" s="55">
        <v>100000</v>
      </c>
      <c r="AG152" s="12">
        <f>+F152++H152++J152++L152++N152++P152++R152++T152++V152++X152++Z152++AB152++AD152+0</f>
        <v>0</v>
      </c>
      <c r="AH152" s="11">
        <f>G152+I152+K152+M152+O152+Q152+S152+U152+W152+Y152+AA152+AC152+AE152+0</f>
        <v>0</v>
      </c>
      <c r="AI152" s="6"/>
    </row>
    <row r="153" spans="1:35" x14ac:dyDescent="0.2">
      <c r="A153" s="4"/>
      <c r="B153" s="17">
        <v>145</v>
      </c>
      <c r="C153" s="41" t="s">
        <v>314</v>
      </c>
      <c r="D153" s="53"/>
      <c r="E153" s="15" t="s">
        <v>315</v>
      </c>
      <c r="F153" s="30"/>
      <c r="G153" s="31"/>
      <c r="H153" s="30"/>
      <c r="I153" s="58"/>
      <c r="J153" s="30"/>
      <c r="K153" s="58"/>
      <c r="L153" s="30"/>
      <c r="M153" s="58"/>
      <c r="N153" s="30"/>
      <c r="O153" s="58"/>
      <c r="P153" s="30"/>
      <c r="Q153" s="58"/>
      <c r="R153" s="30"/>
      <c r="S153" s="58"/>
      <c r="T153" s="30"/>
      <c r="U153" s="58"/>
      <c r="V153" s="30"/>
      <c r="W153" s="58"/>
      <c r="X153" s="30"/>
      <c r="Y153" s="58"/>
      <c r="Z153" s="30"/>
      <c r="AA153" s="58"/>
      <c r="AB153" s="30"/>
      <c r="AC153" s="58"/>
      <c r="AD153" s="30"/>
      <c r="AE153" s="58"/>
      <c r="AF153" s="55">
        <v>100000</v>
      </c>
      <c r="AG153" s="12">
        <f>+F153++H153++J153++L153++N153++P153++R153++T153++V153++X153++Z153++AB153++AD153+0</f>
        <v>0</v>
      </c>
      <c r="AH153" s="11">
        <f>G153+I153+K153+M153+O153+Q153+S153+U153+W153+Y153+AA153+AC153+AE153+0</f>
        <v>0</v>
      </c>
      <c r="AI153" s="6"/>
    </row>
    <row r="154" spans="1:35" x14ac:dyDescent="0.2">
      <c r="A154" s="4"/>
      <c r="B154" s="17">
        <v>146</v>
      </c>
      <c r="C154" s="41" t="s">
        <v>316</v>
      </c>
      <c r="D154" s="53"/>
      <c r="E154" s="15" t="s">
        <v>317</v>
      </c>
      <c r="F154" s="30"/>
      <c r="G154" s="31"/>
      <c r="H154" s="30"/>
      <c r="I154" s="58"/>
      <c r="J154" s="30"/>
      <c r="K154" s="58"/>
      <c r="L154" s="30"/>
      <c r="M154" s="58"/>
      <c r="N154" s="30"/>
      <c r="O154" s="58"/>
      <c r="P154" s="30"/>
      <c r="Q154" s="58"/>
      <c r="R154" s="30"/>
      <c r="S154" s="58"/>
      <c r="T154" s="30"/>
      <c r="U154" s="58"/>
      <c r="V154" s="30"/>
      <c r="W154" s="58"/>
      <c r="X154" s="30"/>
      <c r="Y154" s="58"/>
      <c r="Z154" s="30"/>
      <c r="AA154" s="58"/>
      <c r="AB154" s="30"/>
      <c r="AC154" s="58"/>
      <c r="AD154" s="30"/>
      <c r="AE154" s="58"/>
      <c r="AF154" s="55">
        <v>30000</v>
      </c>
      <c r="AG154" s="12">
        <f>+F154++H154++J154++L154++N154++P154++R154++T154++V154++X154++Z154++AB154++AD154+0</f>
        <v>0</v>
      </c>
      <c r="AH154" s="11">
        <f>G154+I154+K154+M154+O154+Q154+S154+U154+W154+Y154+AA154+AC154+AE154+0</f>
        <v>0</v>
      </c>
      <c r="AI154" s="6"/>
    </row>
    <row r="155" spans="1:35" x14ac:dyDescent="0.2">
      <c r="A155" s="4"/>
      <c r="B155" s="17">
        <v>147</v>
      </c>
      <c r="C155" s="41" t="s">
        <v>318</v>
      </c>
      <c r="D155" s="53"/>
      <c r="E155" s="15" t="s">
        <v>319</v>
      </c>
      <c r="F155" s="30"/>
      <c r="G155" s="31"/>
      <c r="H155" s="30"/>
      <c r="I155" s="58"/>
      <c r="J155" s="30"/>
      <c r="K155" s="58"/>
      <c r="L155" s="30"/>
      <c r="M155" s="58"/>
      <c r="N155" s="30"/>
      <c r="O155" s="58"/>
      <c r="P155" s="30"/>
      <c r="Q155" s="58"/>
      <c r="R155" s="30"/>
      <c r="S155" s="58"/>
      <c r="T155" s="30"/>
      <c r="U155" s="58"/>
      <c r="V155" s="30"/>
      <c r="W155" s="58"/>
      <c r="X155" s="30"/>
      <c r="Y155" s="58"/>
      <c r="Z155" s="30"/>
      <c r="AA155" s="58"/>
      <c r="AB155" s="30"/>
      <c r="AC155" s="58"/>
      <c r="AD155" s="30"/>
      <c r="AE155" s="58"/>
      <c r="AF155" s="55">
        <v>100000</v>
      </c>
      <c r="AG155" s="12">
        <f>+F155++H155++J155++L155++N155++P155++R155++T155++V155++X155++Z155++AB155++AD155+0</f>
        <v>0</v>
      </c>
      <c r="AH155" s="11">
        <f>G155+I155+K155+M155+O155+Q155+S155+U155+W155+Y155+AA155+AC155+AE155+0</f>
        <v>0</v>
      </c>
      <c r="AI155" s="6"/>
    </row>
    <row r="156" spans="1:35" x14ac:dyDescent="0.2">
      <c r="A156" s="4"/>
      <c r="B156" s="17">
        <v>148</v>
      </c>
      <c r="C156" s="41" t="s">
        <v>320</v>
      </c>
      <c r="D156" s="53"/>
      <c r="E156" s="15" t="s">
        <v>321</v>
      </c>
      <c r="F156" s="30"/>
      <c r="G156" s="31"/>
      <c r="H156" s="30"/>
      <c r="I156" s="58"/>
      <c r="J156" s="30"/>
      <c r="K156" s="58"/>
      <c r="L156" s="30"/>
      <c r="M156" s="58"/>
      <c r="N156" s="30"/>
      <c r="O156" s="58"/>
      <c r="P156" s="30"/>
      <c r="Q156" s="58"/>
      <c r="R156" s="30"/>
      <c r="S156" s="58"/>
      <c r="T156" s="30"/>
      <c r="U156" s="58"/>
      <c r="V156" s="30"/>
      <c r="W156" s="58"/>
      <c r="X156" s="30"/>
      <c r="Y156" s="58"/>
      <c r="Z156" s="30"/>
      <c r="AA156" s="58"/>
      <c r="AB156" s="30"/>
      <c r="AC156" s="58"/>
      <c r="AD156" s="30"/>
      <c r="AE156" s="58"/>
      <c r="AF156" s="55">
        <v>100000</v>
      </c>
      <c r="AG156" s="12">
        <f>+F156++H156++J156++L156++N156++P156++R156++T156++V156++X156++Z156++AB156++AD156+0</f>
        <v>0</v>
      </c>
      <c r="AH156" s="11">
        <f>G156+I156+K156+M156+O156+Q156+S156+U156+W156+Y156+AA156+AC156+AE156+0</f>
        <v>0</v>
      </c>
      <c r="AI156" s="6"/>
    </row>
    <row r="157" spans="1:35" x14ac:dyDescent="0.2">
      <c r="A157" s="4"/>
      <c r="B157" s="17">
        <v>149</v>
      </c>
      <c r="C157" s="41" t="s">
        <v>322</v>
      </c>
      <c r="D157" s="53"/>
      <c r="E157" s="15" t="s">
        <v>323</v>
      </c>
      <c r="F157" s="30"/>
      <c r="G157" s="31"/>
      <c r="H157" s="30"/>
      <c r="I157" s="58"/>
      <c r="J157" s="30"/>
      <c r="K157" s="58"/>
      <c r="L157" s="30"/>
      <c r="M157" s="58"/>
      <c r="N157" s="30"/>
      <c r="O157" s="58"/>
      <c r="P157" s="30"/>
      <c r="Q157" s="58"/>
      <c r="R157" s="30"/>
      <c r="S157" s="58"/>
      <c r="T157" s="30"/>
      <c r="U157" s="58"/>
      <c r="V157" s="30"/>
      <c r="W157" s="58"/>
      <c r="X157" s="30"/>
      <c r="Y157" s="58"/>
      <c r="Z157" s="30"/>
      <c r="AA157" s="58"/>
      <c r="AB157" s="30"/>
      <c r="AC157" s="58"/>
      <c r="AD157" s="30"/>
      <c r="AE157" s="58"/>
      <c r="AF157" s="55">
        <v>10000</v>
      </c>
      <c r="AG157" s="12">
        <f>+F157++H157++J157++L157++N157++P157++R157++T157++V157++X157++Z157++AB157++AD157+0</f>
        <v>0</v>
      </c>
      <c r="AH157" s="11">
        <f>G157+I157+K157+M157+O157+Q157+S157+U157+W157+Y157+AA157+AC157+AE157+0</f>
        <v>0</v>
      </c>
      <c r="AI157" s="6"/>
    </row>
    <row r="158" spans="1:35" x14ac:dyDescent="0.2">
      <c r="A158" s="4"/>
      <c r="B158" s="17">
        <v>150</v>
      </c>
      <c r="C158" s="41" t="s">
        <v>324</v>
      </c>
      <c r="D158" s="53"/>
      <c r="E158" s="15" t="s">
        <v>325</v>
      </c>
      <c r="F158" s="30"/>
      <c r="G158" s="31"/>
      <c r="H158" s="30"/>
      <c r="I158" s="58"/>
      <c r="J158" s="30"/>
      <c r="K158" s="58"/>
      <c r="L158" s="30"/>
      <c r="M158" s="58"/>
      <c r="N158" s="30"/>
      <c r="O158" s="58"/>
      <c r="P158" s="30"/>
      <c r="Q158" s="58"/>
      <c r="R158" s="30"/>
      <c r="S158" s="58"/>
      <c r="T158" s="30"/>
      <c r="U158" s="58"/>
      <c r="V158" s="30"/>
      <c r="W158" s="58"/>
      <c r="X158" s="30"/>
      <c r="Y158" s="58"/>
      <c r="Z158" s="30"/>
      <c r="AA158" s="58"/>
      <c r="AB158" s="30"/>
      <c r="AC158" s="58"/>
      <c r="AD158" s="30"/>
      <c r="AE158" s="58"/>
      <c r="AF158" s="55">
        <v>50000</v>
      </c>
      <c r="AG158" s="12">
        <f>+F158++H158++J158++L158++N158++P158++R158++T158++V158++X158++Z158++AB158++AD158+0</f>
        <v>0</v>
      </c>
      <c r="AH158" s="11">
        <f>G158+I158+K158+M158+O158+Q158+S158+U158+W158+Y158+AA158+AC158+AE158+0</f>
        <v>0</v>
      </c>
      <c r="AI158" s="6"/>
    </row>
    <row r="159" spans="1:35" x14ac:dyDescent="0.2">
      <c r="A159" s="4"/>
      <c r="B159" s="17">
        <v>151</v>
      </c>
      <c r="C159" s="41" t="s">
        <v>326</v>
      </c>
      <c r="D159" s="53"/>
      <c r="E159" s="15" t="s">
        <v>327</v>
      </c>
      <c r="F159" s="30"/>
      <c r="G159" s="31"/>
      <c r="H159" s="30"/>
      <c r="I159" s="58"/>
      <c r="J159" s="30"/>
      <c r="K159" s="58"/>
      <c r="L159" s="30"/>
      <c r="M159" s="58"/>
      <c r="N159" s="30"/>
      <c r="O159" s="58"/>
      <c r="P159" s="30"/>
      <c r="Q159" s="58"/>
      <c r="R159" s="30"/>
      <c r="S159" s="58"/>
      <c r="T159" s="30"/>
      <c r="U159" s="58"/>
      <c r="V159" s="30"/>
      <c r="W159" s="58"/>
      <c r="X159" s="30"/>
      <c r="Y159" s="58"/>
      <c r="Z159" s="30"/>
      <c r="AA159" s="58"/>
      <c r="AB159" s="30"/>
      <c r="AC159" s="58"/>
      <c r="AD159" s="30"/>
      <c r="AE159" s="58"/>
      <c r="AF159" s="55">
        <v>90000</v>
      </c>
      <c r="AG159" s="12">
        <f>+F159++H159++J159++L159++N159++P159++R159++T159++V159++X159++Z159++AB159++AD159+0</f>
        <v>0</v>
      </c>
      <c r="AH159" s="11">
        <f>G159+I159+K159+M159+O159+Q159+S159+U159+W159+Y159+AA159+AC159+AE159+0</f>
        <v>0</v>
      </c>
      <c r="AI159" s="6"/>
    </row>
    <row r="160" spans="1:35" x14ac:dyDescent="0.2">
      <c r="A160" s="4"/>
      <c r="B160" s="17">
        <v>152</v>
      </c>
      <c r="C160" s="41" t="s">
        <v>328</v>
      </c>
      <c r="D160" s="53"/>
      <c r="E160" s="15" t="s">
        <v>329</v>
      </c>
      <c r="F160" s="30"/>
      <c r="G160" s="31"/>
      <c r="H160" s="30"/>
      <c r="I160" s="58"/>
      <c r="J160" s="30"/>
      <c r="K160" s="58"/>
      <c r="L160" s="30"/>
      <c r="M160" s="58"/>
      <c r="N160" s="30"/>
      <c r="O160" s="58"/>
      <c r="P160" s="30"/>
      <c r="Q160" s="58"/>
      <c r="R160" s="30"/>
      <c r="S160" s="58"/>
      <c r="T160" s="30"/>
      <c r="U160" s="58"/>
      <c r="V160" s="30"/>
      <c r="W160" s="58"/>
      <c r="X160" s="30"/>
      <c r="Y160" s="58"/>
      <c r="Z160" s="30"/>
      <c r="AA160" s="58"/>
      <c r="AB160" s="30"/>
      <c r="AC160" s="58"/>
      <c r="AD160" s="30"/>
      <c r="AE160" s="58"/>
      <c r="AF160" s="55">
        <v>5000</v>
      </c>
      <c r="AG160" s="12">
        <f>+F160++H160++J160++L160++N160++P160++R160++T160++V160++X160++Z160++AB160++AD160+0</f>
        <v>0</v>
      </c>
      <c r="AH160" s="11">
        <f>G160+I160+K160+M160+O160+Q160+S160+U160+W160+Y160+AA160+AC160+AE160+0</f>
        <v>0</v>
      </c>
      <c r="AI160" s="6"/>
    </row>
    <row r="161" spans="1:35" x14ac:dyDescent="0.2">
      <c r="A161" s="4"/>
      <c r="B161" s="17">
        <v>153</v>
      </c>
      <c r="C161" s="41" t="s">
        <v>330</v>
      </c>
      <c r="D161" s="53"/>
      <c r="E161" s="15" t="s">
        <v>331</v>
      </c>
      <c r="F161" s="30"/>
      <c r="G161" s="31"/>
      <c r="H161" s="30"/>
      <c r="I161" s="58"/>
      <c r="J161" s="30"/>
      <c r="K161" s="58"/>
      <c r="L161" s="30"/>
      <c r="M161" s="58"/>
      <c r="N161" s="30"/>
      <c r="O161" s="58"/>
      <c r="P161" s="30"/>
      <c r="Q161" s="58"/>
      <c r="R161" s="30"/>
      <c r="S161" s="58"/>
      <c r="T161" s="30"/>
      <c r="U161" s="58"/>
      <c r="V161" s="30"/>
      <c r="W161" s="58"/>
      <c r="X161" s="30"/>
      <c r="Y161" s="58"/>
      <c r="Z161" s="30"/>
      <c r="AA161" s="58"/>
      <c r="AB161" s="30"/>
      <c r="AC161" s="58"/>
      <c r="AD161" s="30"/>
      <c r="AE161" s="58"/>
      <c r="AF161" s="55">
        <v>6100</v>
      </c>
      <c r="AG161" s="12">
        <f>+F161++H161++J161++L161++N161++P161++R161++T161++V161++X161++Z161++AB161++AD161+0</f>
        <v>0</v>
      </c>
      <c r="AH161" s="11">
        <f>G161+I161+K161+M161+O161+Q161+S161+U161+W161+Y161+AA161+AC161+AE161+0</f>
        <v>0</v>
      </c>
      <c r="AI161" s="6"/>
    </row>
    <row r="162" spans="1:35" x14ac:dyDescent="0.2">
      <c r="A162" s="4"/>
      <c r="B162" s="17">
        <v>154</v>
      </c>
      <c r="C162" s="41" t="s">
        <v>332</v>
      </c>
      <c r="D162" s="53"/>
      <c r="E162" s="15" t="s">
        <v>333</v>
      </c>
      <c r="F162" s="30"/>
      <c r="G162" s="31"/>
      <c r="H162" s="30"/>
      <c r="I162" s="58"/>
      <c r="J162" s="30"/>
      <c r="K162" s="58"/>
      <c r="L162" s="30"/>
      <c r="M162" s="58"/>
      <c r="N162" s="30"/>
      <c r="O162" s="58"/>
      <c r="P162" s="30"/>
      <c r="Q162" s="58"/>
      <c r="R162" s="30"/>
      <c r="S162" s="58"/>
      <c r="T162" s="30"/>
      <c r="U162" s="58"/>
      <c r="V162" s="30"/>
      <c r="W162" s="58"/>
      <c r="X162" s="30"/>
      <c r="Y162" s="58"/>
      <c r="Z162" s="30"/>
      <c r="AA162" s="58"/>
      <c r="AB162" s="30"/>
      <c r="AC162" s="58"/>
      <c r="AD162" s="30"/>
      <c r="AE162" s="58"/>
      <c r="AF162" s="55">
        <v>150000</v>
      </c>
      <c r="AG162" s="12">
        <f>+F162++H162++J162++L162++N162++P162++R162++T162++V162++X162++Z162++AB162++AD162+0</f>
        <v>0</v>
      </c>
      <c r="AH162" s="11">
        <f>G162+I162+K162+M162+O162+Q162+S162+U162+W162+Y162+AA162+AC162+AE162+0</f>
        <v>0</v>
      </c>
      <c r="AI162" s="6"/>
    </row>
    <row r="163" spans="1:35" x14ac:dyDescent="0.2">
      <c r="A163" s="4"/>
      <c r="B163" s="17">
        <v>155</v>
      </c>
      <c r="C163" s="41" t="s">
        <v>334</v>
      </c>
      <c r="D163" s="53"/>
      <c r="E163" s="15" t="s">
        <v>335</v>
      </c>
      <c r="F163" s="30"/>
      <c r="G163" s="31"/>
      <c r="H163" s="30"/>
      <c r="I163" s="58"/>
      <c r="J163" s="30"/>
      <c r="K163" s="58"/>
      <c r="L163" s="30"/>
      <c r="M163" s="58"/>
      <c r="N163" s="30"/>
      <c r="O163" s="58"/>
      <c r="P163" s="30"/>
      <c r="Q163" s="58"/>
      <c r="R163" s="30"/>
      <c r="S163" s="58"/>
      <c r="T163" s="30"/>
      <c r="U163" s="58"/>
      <c r="V163" s="30"/>
      <c r="W163" s="58"/>
      <c r="X163" s="30"/>
      <c r="Y163" s="58"/>
      <c r="Z163" s="30"/>
      <c r="AA163" s="58"/>
      <c r="AB163" s="30"/>
      <c r="AC163" s="58"/>
      <c r="AD163" s="30"/>
      <c r="AE163" s="58"/>
      <c r="AF163" s="55">
        <v>65000</v>
      </c>
      <c r="AG163" s="12">
        <f>+F163++H163++J163++L163++N163++P163++R163++T163++V163++X163++Z163++AB163++AD163+0</f>
        <v>0</v>
      </c>
      <c r="AH163" s="11">
        <f>G163+I163+K163+M163+O163+Q163+S163+U163+W163+Y163+AA163+AC163+AE163+0</f>
        <v>0</v>
      </c>
      <c r="AI163" s="6"/>
    </row>
    <row r="164" spans="1:35" x14ac:dyDescent="0.2">
      <c r="A164" s="4"/>
      <c r="B164" s="17">
        <v>156</v>
      </c>
      <c r="C164" s="41" t="s">
        <v>336</v>
      </c>
      <c r="D164" s="53"/>
      <c r="E164" s="15" t="s">
        <v>337</v>
      </c>
      <c r="F164" s="30"/>
      <c r="G164" s="31"/>
      <c r="H164" s="30"/>
      <c r="I164" s="58"/>
      <c r="J164" s="30"/>
      <c r="K164" s="58"/>
      <c r="L164" s="30"/>
      <c r="M164" s="58"/>
      <c r="N164" s="30"/>
      <c r="O164" s="58"/>
      <c r="P164" s="30"/>
      <c r="Q164" s="58"/>
      <c r="R164" s="30"/>
      <c r="S164" s="58"/>
      <c r="T164" s="30"/>
      <c r="U164" s="58"/>
      <c r="V164" s="30"/>
      <c r="W164" s="58"/>
      <c r="X164" s="30"/>
      <c r="Y164" s="58"/>
      <c r="Z164" s="30"/>
      <c r="AA164" s="58"/>
      <c r="AB164" s="30"/>
      <c r="AC164" s="58"/>
      <c r="AD164" s="30"/>
      <c r="AE164" s="58"/>
      <c r="AF164" s="55">
        <v>16000</v>
      </c>
      <c r="AG164" s="12">
        <f>+F164++H164++J164++L164++N164++P164++R164++T164++V164++X164++Z164++AB164++AD164+0</f>
        <v>0</v>
      </c>
      <c r="AH164" s="11">
        <f>G164+I164+K164+M164+O164+Q164+S164+U164+W164+Y164+AA164+AC164+AE164+0</f>
        <v>0</v>
      </c>
      <c r="AI164" s="6"/>
    </row>
    <row r="165" spans="1:35" x14ac:dyDescent="0.2">
      <c r="A165" s="4"/>
      <c r="B165" s="17">
        <v>157</v>
      </c>
      <c r="C165" s="41" t="s">
        <v>338</v>
      </c>
      <c r="D165" s="53"/>
      <c r="E165" s="15" t="s">
        <v>339</v>
      </c>
      <c r="F165" s="30"/>
      <c r="G165" s="31"/>
      <c r="H165" s="30"/>
      <c r="I165" s="58"/>
      <c r="J165" s="30"/>
      <c r="K165" s="58"/>
      <c r="L165" s="30"/>
      <c r="M165" s="58"/>
      <c r="N165" s="30"/>
      <c r="O165" s="58"/>
      <c r="P165" s="30"/>
      <c r="Q165" s="58"/>
      <c r="R165" s="30"/>
      <c r="S165" s="58"/>
      <c r="T165" s="30"/>
      <c r="U165" s="58"/>
      <c r="V165" s="30"/>
      <c r="W165" s="58"/>
      <c r="X165" s="30"/>
      <c r="Y165" s="58"/>
      <c r="Z165" s="30"/>
      <c r="AA165" s="58"/>
      <c r="AB165" s="30"/>
      <c r="AC165" s="58"/>
      <c r="AD165" s="30"/>
      <c r="AE165" s="58"/>
      <c r="AF165" s="55">
        <v>100000</v>
      </c>
      <c r="AG165" s="12">
        <f>+F165++H165++J165++L165++N165++P165++R165++T165++V165++X165++Z165++AB165++AD165+0</f>
        <v>0</v>
      </c>
      <c r="AH165" s="11">
        <f>G165+I165+K165+M165+O165+Q165+S165+U165+W165+Y165+AA165+AC165+AE165+0</f>
        <v>0</v>
      </c>
      <c r="AI165" s="6"/>
    </row>
    <row r="166" spans="1:35" x14ac:dyDescent="0.2">
      <c r="A166" s="4"/>
      <c r="B166" s="17">
        <v>158</v>
      </c>
      <c r="C166" s="41" t="s">
        <v>340</v>
      </c>
      <c r="D166" s="53"/>
      <c r="E166" s="15" t="s">
        <v>341</v>
      </c>
      <c r="F166" s="30"/>
      <c r="G166" s="31"/>
      <c r="H166" s="30"/>
      <c r="I166" s="58"/>
      <c r="J166" s="30"/>
      <c r="K166" s="58"/>
      <c r="L166" s="30"/>
      <c r="M166" s="58"/>
      <c r="N166" s="30"/>
      <c r="O166" s="58"/>
      <c r="P166" s="30"/>
      <c r="Q166" s="58"/>
      <c r="R166" s="30"/>
      <c r="S166" s="58"/>
      <c r="T166" s="30"/>
      <c r="U166" s="58"/>
      <c r="V166" s="30"/>
      <c r="W166" s="58"/>
      <c r="X166" s="30"/>
      <c r="Y166" s="58"/>
      <c r="Z166" s="30"/>
      <c r="AA166" s="58"/>
      <c r="AB166" s="30"/>
      <c r="AC166" s="58"/>
      <c r="AD166" s="30"/>
      <c r="AE166" s="58"/>
      <c r="AF166" s="55">
        <v>50000</v>
      </c>
      <c r="AG166" s="12">
        <f>+F166++H166++J166++L166++N166++P166++R166++T166++V166++X166++Z166++AB166++AD166+0</f>
        <v>0</v>
      </c>
      <c r="AH166" s="11">
        <f>G166+I166+K166+M166+O166+Q166+S166+U166+W166+Y166+AA166+AC166+AE166+0</f>
        <v>0</v>
      </c>
      <c r="AI166" s="6"/>
    </row>
    <row r="167" spans="1:35" x14ac:dyDescent="0.2">
      <c r="A167" s="4"/>
      <c r="B167" s="17">
        <v>159</v>
      </c>
      <c r="C167" s="41" t="s">
        <v>342</v>
      </c>
      <c r="D167" s="53"/>
      <c r="E167" s="15" t="s">
        <v>343</v>
      </c>
      <c r="F167" s="30"/>
      <c r="G167" s="31"/>
      <c r="H167" s="30"/>
      <c r="I167" s="58"/>
      <c r="J167" s="30"/>
      <c r="K167" s="58"/>
      <c r="L167" s="30"/>
      <c r="M167" s="58"/>
      <c r="N167" s="30"/>
      <c r="O167" s="58"/>
      <c r="P167" s="30"/>
      <c r="Q167" s="58"/>
      <c r="R167" s="30"/>
      <c r="S167" s="58"/>
      <c r="T167" s="30"/>
      <c r="U167" s="58"/>
      <c r="V167" s="30"/>
      <c r="W167" s="58"/>
      <c r="X167" s="30"/>
      <c r="Y167" s="58"/>
      <c r="Z167" s="30"/>
      <c r="AA167" s="58"/>
      <c r="AB167" s="30"/>
      <c r="AC167" s="58"/>
      <c r="AD167" s="30"/>
      <c r="AE167" s="58"/>
      <c r="AF167" s="55">
        <v>30000</v>
      </c>
      <c r="AG167" s="12">
        <f>+F167++H167++J167++L167++N167++P167++R167++T167++V167++X167++Z167++AB167++AD167+0</f>
        <v>0</v>
      </c>
      <c r="AH167" s="11">
        <f>G167+I167+K167+M167+O167+Q167+S167+U167+W167+Y167+AA167+AC167+AE167+0</f>
        <v>0</v>
      </c>
      <c r="AI167" s="6"/>
    </row>
    <row r="168" spans="1:35" x14ac:dyDescent="0.2">
      <c r="A168" s="4"/>
      <c r="B168" s="17">
        <v>160</v>
      </c>
      <c r="C168" s="41" t="s">
        <v>344</v>
      </c>
      <c r="D168" s="53"/>
      <c r="E168" s="15" t="s">
        <v>345</v>
      </c>
      <c r="F168" s="30"/>
      <c r="G168" s="31"/>
      <c r="H168" s="30"/>
      <c r="I168" s="58"/>
      <c r="J168" s="30"/>
      <c r="K168" s="58"/>
      <c r="L168" s="30"/>
      <c r="M168" s="58"/>
      <c r="N168" s="30"/>
      <c r="O168" s="58"/>
      <c r="P168" s="30"/>
      <c r="Q168" s="58"/>
      <c r="R168" s="30"/>
      <c r="S168" s="58"/>
      <c r="T168" s="30"/>
      <c r="U168" s="58"/>
      <c r="V168" s="30"/>
      <c r="W168" s="58"/>
      <c r="X168" s="30"/>
      <c r="Y168" s="58"/>
      <c r="Z168" s="30"/>
      <c r="AA168" s="58"/>
      <c r="AB168" s="30"/>
      <c r="AC168" s="58"/>
      <c r="AD168" s="30"/>
      <c r="AE168" s="58"/>
      <c r="AF168" s="55">
        <v>500000</v>
      </c>
      <c r="AG168" s="12">
        <f>+F168++H168++J168++L168++N168++P168++R168++T168++V168++X168++Z168++AB168++AD168+0</f>
        <v>0</v>
      </c>
      <c r="AH168" s="11">
        <f>G168+I168+K168+M168+O168+Q168+S168+U168+W168+Y168+AA168+AC168+AE168+0</f>
        <v>0</v>
      </c>
      <c r="AI168" s="6"/>
    </row>
    <row r="169" spans="1:35" x14ac:dyDescent="0.2">
      <c r="A169" s="4"/>
      <c r="B169" s="17">
        <v>161</v>
      </c>
      <c r="C169" s="41" t="s">
        <v>346</v>
      </c>
      <c r="D169" s="53"/>
      <c r="E169" s="15" t="s">
        <v>347</v>
      </c>
      <c r="F169" s="30"/>
      <c r="G169" s="31"/>
      <c r="H169" s="30"/>
      <c r="I169" s="58"/>
      <c r="J169" s="30"/>
      <c r="K169" s="58"/>
      <c r="L169" s="30"/>
      <c r="M169" s="58"/>
      <c r="N169" s="30"/>
      <c r="O169" s="58"/>
      <c r="P169" s="30"/>
      <c r="Q169" s="58"/>
      <c r="R169" s="30"/>
      <c r="S169" s="58"/>
      <c r="T169" s="30"/>
      <c r="U169" s="58"/>
      <c r="V169" s="30"/>
      <c r="W169" s="58"/>
      <c r="X169" s="30"/>
      <c r="Y169" s="58"/>
      <c r="Z169" s="30"/>
      <c r="AA169" s="58"/>
      <c r="AB169" s="30"/>
      <c r="AC169" s="58"/>
      <c r="AD169" s="30"/>
      <c r="AE169" s="58"/>
      <c r="AF169" s="55">
        <v>50000</v>
      </c>
      <c r="AG169" s="12">
        <f>+F169++H169++J169++L169++N169++P169++R169++T169++V169++X169++Z169++AB169++AD169+0</f>
        <v>0</v>
      </c>
      <c r="AH169" s="11">
        <f>G169+I169+K169+M169+O169+Q169+S169+U169+W169+Y169+AA169+AC169+AE169+0</f>
        <v>0</v>
      </c>
      <c r="AI169" s="6"/>
    </row>
    <row r="170" spans="1:35" x14ac:dyDescent="0.2">
      <c r="A170" s="4"/>
      <c r="B170" s="17">
        <v>162</v>
      </c>
      <c r="C170" s="41" t="s">
        <v>348</v>
      </c>
      <c r="D170" s="53"/>
      <c r="E170" s="15" t="s">
        <v>349</v>
      </c>
      <c r="F170" s="30"/>
      <c r="G170" s="31"/>
      <c r="H170" s="30"/>
      <c r="I170" s="58"/>
      <c r="J170" s="30"/>
      <c r="K170" s="58"/>
      <c r="L170" s="30"/>
      <c r="M170" s="58"/>
      <c r="N170" s="30"/>
      <c r="O170" s="58"/>
      <c r="P170" s="30"/>
      <c r="Q170" s="58"/>
      <c r="R170" s="30"/>
      <c r="S170" s="58"/>
      <c r="T170" s="30"/>
      <c r="U170" s="58"/>
      <c r="V170" s="30"/>
      <c r="W170" s="58"/>
      <c r="X170" s="30"/>
      <c r="Y170" s="58"/>
      <c r="Z170" s="30"/>
      <c r="AA170" s="58"/>
      <c r="AB170" s="30"/>
      <c r="AC170" s="58"/>
      <c r="AD170" s="30"/>
      <c r="AE170" s="58"/>
      <c r="AF170" s="55">
        <v>15000</v>
      </c>
      <c r="AG170" s="12">
        <f>+F170++H170++J170++L170++N170++P170++R170++T170++V170++X170++Z170++AB170++AD170+0</f>
        <v>0</v>
      </c>
      <c r="AH170" s="11">
        <f>G170+I170+K170+M170+O170+Q170+S170+U170+W170+Y170+AA170+AC170+AE170+0</f>
        <v>0</v>
      </c>
      <c r="AI170" s="6"/>
    </row>
    <row r="171" spans="1:35" x14ac:dyDescent="0.2">
      <c r="A171" s="4"/>
      <c r="B171" s="17">
        <v>163</v>
      </c>
      <c r="C171" s="41" t="s">
        <v>350</v>
      </c>
      <c r="D171" s="53"/>
      <c r="E171" s="15" t="s">
        <v>351</v>
      </c>
      <c r="F171" s="30"/>
      <c r="G171" s="31"/>
      <c r="H171" s="30"/>
      <c r="I171" s="58"/>
      <c r="J171" s="30"/>
      <c r="K171" s="58"/>
      <c r="L171" s="30"/>
      <c r="M171" s="58"/>
      <c r="N171" s="30"/>
      <c r="O171" s="58"/>
      <c r="P171" s="30"/>
      <c r="Q171" s="58"/>
      <c r="R171" s="30"/>
      <c r="S171" s="58"/>
      <c r="T171" s="30"/>
      <c r="U171" s="58"/>
      <c r="V171" s="30"/>
      <c r="W171" s="58"/>
      <c r="X171" s="30"/>
      <c r="Y171" s="58"/>
      <c r="Z171" s="30"/>
      <c r="AA171" s="58"/>
      <c r="AB171" s="30"/>
      <c r="AC171" s="58"/>
      <c r="AD171" s="30"/>
      <c r="AE171" s="58"/>
      <c r="AF171" s="55">
        <v>50000</v>
      </c>
      <c r="AG171" s="12">
        <f>+F171++H171++J171++L171++N171++P171++R171++T171++V171++X171++Z171++AB171++AD171+0</f>
        <v>0</v>
      </c>
      <c r="AH171" s="11">
        <f>G171+I171+K171+M171+O171+Q171+S171+U171+W171+Y171+AA171+AC171+AE171+0</f>
        <v>0</v>
      </c>
      <c r="AI171" s="6"/>
    </row>
    <row r="172" spans="1:35" x14ac:dyDescent="0.2">
      <c r="A172" s="4"/>
      <c r="B172" s="17">
        <v>164</v>
      </c>
      <c r="C172" s="41" t="s">
        <v>352</v>
      </c>
      <c r="D172" s="53"/>
      <c r="E172" s="15" t="s">
        <v>353</v>
      </c>
      <c r="F172" s="30"/>
      <c r="G172" s="31"/>
      <c r="H172" s="30"/>
      <c r="I172" s="58"/>
      <c r="J172" s="30"/>
      <c r="K172" s="58"/>
      <c r="L172" s="30"/>
      <c r="M172" s="58"/>
      <c r="N172" s="30"/>
      <c r="O172" s="58"/>
      <c r="P172" s="30"/>
      <c r="Q172" s="58"/>
      <c r="R172" s="30"/>
      <c r="S172" s="58"/>
      <c r="T172" s="30"/>
      <c r="U172" s="58"/>
      <c r="V172" s="30"/>
      <c r="W172" s="58"/>
      <c r="X172" s="30"/>
      <c r="Y172" s="58"/>
      <c r="Z172" s="30"/>
      <c r="AA172" s="58"/>
      <c r="AB172" s="30"/>
      <c r="AC172" s="58"/>
      <c r="AD172" s="30"/>
      <c r="AE172" s="58"/>
      <c r="AF172" s="55">
        <v>450000</v>
      </c>
      <c r="AG172" s="12">
        <f>+F172++H172++J172++L172++N172++P172++R172++T172++V172++X172++Z172++AB172++AD172+0</f>
        <v>0</v>
      </c>
      <c r="AH172" s="11">
        <f>G172+I172+K172+M172+O172+Q172+S172+U172+W172+Y172+AA172+AC172+AE172+0</f>
        <v>0</v>
      </c>
      <c r="AI172" s="6"/>
    </row>
    <row r="173" spans="1:35" x14ac:dyDescent="0.2">
      <c r="A173" s="4"/>
      <c r="B173" s="17">
        <v>165</v>
      </c>
      <c r="C173" s="41" t="s">
        <v>354</v>
      </c>
      <c r="D173" s="53"/>
      <c r="E173" s="15" t="s">
        <v>355</v>
      </c>
      <c r="F173" s="30"/>
      <c r="G173" s="31"/>
      <c r="H173" s="30"/>
      <c r="I173" s="58"/>
      <c r="J173" s="30"/>
      <c r="K173" s="58"/>
      <c r="L173" s="30"/>
      <c r="M173" s="58"/>
      <c r="N173" s="30"/>
      <c r="O173" s="58"/>
      <c r="P173" s="30"/>
      <c r="Q173" s="58"/>
      <c r="R173" s="30"/>
      <c r="S173" s="58"/>
      <c r="T173" s="30"/>
      <c r="U173" s="58"/>
      <c r="V173" s="30"/>
      <c r="W173" s="58"/>
      <c r="X173" s="30"/>
      <c r="Y173" s="58"/>
      <c r="Z173" s="30"/>
      <c r="AA173" s="58"/>
      <c r="AB173" s="30"/>
      <c r="AC173" s="58"/>
      <c r="AD173" s="30"/>
      <c r="AE173" s="58"/>
      <c r="AF173" s="55">
        <v>30000</v>
      </c>
      <c r="AG173" s="12">
        <f>+F173++H173++J173++L173++N173++P173++R173++T173++V173++X173++Z173++AB173++AD173+0</f>
        <v>0</v>
      </c>
      <c r="AH173" s="11">
        <f>G173+I173+K173+M173+O173+Q173+S173+U173+W173+Y173+AA173+AC173+AE173+0</f>
        <v>0</v>
      </c>
      <c r="AI173" s="6"/>
    </row>
    <row r="174" spans="1:35" x14ac:dyDescent="0.2">
      <c r="A174" s="4"/>
      <c r="B174" s="17">
        <v>166</v>
      </c>
      <c r="C174" s="41" t="s">
        <v>356</v>
      </c>
      <c r="D174" s="53"/>
      <c r="E174" s="15" t="s">
        <v>357</v>
      </c>
      <c r="F174" s="30"/>
      <c r="G174" s="31"/>
      <c r="H174" s="30"/>
      <c r="I174" s="58"/>
      <c r="J174" s="30"/>
      <c r="K174" s="58"/>
      <c r="L174" s="30"/>
      <c r="M174" s="58"/>
      <c r="N174" s="30"/>
      <c r="O174" s="58"/>
      <c r="P174" s="30"/>
      <c r="Q174" s="58"/>
      <c r="R174" s="30"/>
      <c r="S174" s="58"/>
      <c r="T174" s="30"/>
      <c r="U174" s="58"/>
      <c r="V174" s="30"/>
      <c r="W174" s="58"/>
      <c r="X174" s="30"/>
      <c r="Y174" s="58"/>
      <c r="Z174" s="30"/>
      <c r="AA174" s="58"/>
      <c r="AB174" s="30"/>
      <c r="AC174" s="58"/>
      <c r="AD174" s="30"/>
      <c r="AE174" s="58"/>
      <c r="AF174" s="55">
        <v>30000</v>
      </c>
      <c r="AG174" s="12">
        <f>+F174++H174++J174++L174++N174++P174++R174++T174++V174++X174++Z174++AB174++AD174+0</f>
        <v>0</v>
      </c>
      <c r="AH174" s="11">
        <f>G174+I174+K174+M174+O174+Q174+S174+U174+W174+Y174+AA174+AC174+AE174+0</f>
        <v>0</v>
      </c>
      <c r="AI174" s="6"/>
    </row>
    <row r="175" spans="1:35" x14ac:dyDescent="0.2">
      <c r="A175" s="4"/>
      <c r="B175" s="17">
        <v>167</v>
      </c>
      <c r="C175" s="41" t="s">
        <v>358</v>
      </c>
      <c r="D175" s="53"/>
      <c r="E175" s="15" t="s">
        <v>359</v>
      </c>
      <c r="F175" s="30"/>
      <c r="G175" s="31"/>
      <c r="H175" s="30"/>
      <c r="I175" s="58"/>
      <c r="J175" s="30"/>
      <c r="K175" s="58"/>
      <c r="L175" s="30"/>
      <c r="M175" s="58"/>
      <c r="N175" s="30"/>
      <c r="O175" s="58"/>
      <c r="P175" s="30"/>
      <c r="Q175" s="58"/>
      <c r="R175" s="30"/>
      <c r="S175" s="58"/>
      <c r="T175" s="30"/>
      <c r="U175" s="58"/>
      <c r="V175" s="30"/>
      <c r="W175" s="58"/>
      <c r="X175" s="30"/>
      <c r="Y175" s="58"/>
      <c r="Z175" s="30"/>
      <c r="AA175" s="58"/>
      <c r="AB175" s="30"/>
      <c r="AC175" s="58"/>
      <c r="AD175" s="30"/>
      <c r="AE175" s="58"/>
      <c r="AF175" s="55">
        <v>10000</v>
      </c>
      <c r="AG175" s="12">
        <f>+F175++H175++J175++L175++N175++P175++R175++T175++V175++X175++Z175++AB175++AD175+0</f>
        <v>0</v>
      </c>
      <c r="AH175" s="11">
        <f>G175+I175+K175+M175+O175+Q175+S175+U175+W175+Y175+AA175+AC175+AE175+0</f>
        <v>0</v>
      </c>
      <c r="AI175" s="6"/>
    </row>
    <row r="176" spans="1:35" x14ac:dyDescent="0.2">
      <c r="A176" s="4"/>
      <c r="B176" s="17">
        <v>168</v>
      </c>
      <c r="C176" s="41" t="s">
        <v>360</v>
      </c>
      <c r="D176" s="53"/>
      <c r="E176" s="15" t="s">
        <v>361</v>
      </c>
      <c r="F176" s="30"/>
      <c r="G176" s="31"/>
      <c r="H176" s="30"/>
      <c r="I176" s="58"/>
      <c r="J176" s="30"/>
      <c r="K176" s="58"/>
      <c r="L176" s="30"/>
      <c r="M176" s="58"/>
      <c r="N176" s="30"/>
      <c r="O176" s="58"/>
      <c r="P176" s="30"/>
      <c r="Q176" s="58"/>
      <c r="R176" s="30"/>
      <c r="S176" s="58"/>
      <c r="T176" s="30"/>
      <c r="U176" s="58"/>
      <c r="V176" s="30"/>
      <c r="W176" s="58"/>
      <c r="X176" s="30"/>
      <c r="Y176" s="58"/>
      <c r="Z176" s="30"/>
      <c r="AA176" s="58"/>
      <c r="AB176" s="30"/>
      <c r="AC176" s="58"/>
      <c r="AD176" s="30"/>
      <c r="AE176" s="58"/>
      <c r="AF176" s="55">
        <v>30000</v>
      </c>
      <c r="AG176" s="12">
        <f>+F176++H176++J176++L176++N176++P176++R176++T176++V176++X176++Z176++AB176++AD176+0</f>
        <v>0</v>
      </c>
      <c r="AH176" s="11">
        <f>G176+I176+K176+M176+O176+Q176+S176+U176+W176+Y176+AA176+AC176+AE176+0</f>
        <v>0</v>
      </c>
      <c r="AI176" s="6"/>
    </row>
    <row r="177" spans="1:35" x14ac:dyDescent="0.2">
      <c r="A177" s="4"/>
      <c r="B177" s="17">
        <v>169</v>
      </c>
      <c r="C177" s="41" t="s">
        <v>362</v>
      </c>
      <c r="D177" s="53"/>
      <c r="E177" s="15" t="s">
        <v>363</v>
      </c>
      <c r="F177" s="30"/>
      <c r="G177" s="31"/>
      <c r="H177" s="30"/>
      <c r="I177" s="58"/>
      <c r="J177" s="30"/>
      <c r="K177" s="58"/>
      <c r="L177" s="30"/>
      <c r="M177" s="58"/>
      <c r="N177" s="30"/>
      <c r="O177" s="58"/>
      <c r="P177" s="30"/>
      <c r="Q177" s="58"/>
      <c r="R177" s="30"/>
      <c r="S177" s="58"/>
      <c r="T177" s="30"/>
      <c r="U177" s="58"/>
      <c r="V177" s="30"/>
      <c r="W177" s="58"/>
      <c r="X177" s="30"/>
      <c r="Y177" s="58"/>
      <c r="Z177" s="30"/>
      <c r="AA177" s="58"/>
      <c r="AB177" s="30"/>
      <c r="AC177" s="58"/>
      <c r="AD177" s="30"/>
      <c r="AE177" s="58"/>
      <c r="AF177" s="55">
        <v>30000</v>
      </c>
      <c r="AG177" s="12">
        <f>+F177++H177++J177++L177++N177++P177++R177++T177++V177++X177++Z177++AB177++AD177+0</f>
        <v>0</v>
      </c>
      <c r="AH177" s="11">
        <f>G177+I177+K177+M177+O177+Q177+S177+U177+W177+Y177+AA177+AC177+AE177+0</f>
        <v>0</v>
      </c>
      <c r="AI177" s="6"/>
    </row>
    <row r="178" spans="1:35" x14ac:dyDescent="0.2">
      <c r="A178" s="4"/>
      <c r="B178" s="17">
        <v>170</v>
      </c>
      <c r="C178" s="41" t="s">
        <v>364</v>
      </c>
      <c r="D178" s="53"/>
      <c r="E178" s="15" t="s">
        <v>365</v>
      </c>
      <c r="F178" s="30"/>
      <c r="G178" s="31"/>
      <c r="H178" s="30"/>
      <c r="I178" s="58"/>
      <c r="J178" s="30"/>
      <c r="K178" s="58"/>
      <c r="L178" s="30"/>
      <c r="M178" s="58"/>
      <c r="N178" s="30"/>
      <c r="O178" s="58"/>
      <c r="P178" s="30"/>
      <c r="Q178" s="58"/>
      <c r="R178" s="30"/>
      <c r="S178" s="58"/>
      <c r="T178" s="30"/>
      <c r="U178" s="58"/>
      <c r="V178" s="30"/>
      <c r="W178" s="58"/>
      <c r="X178" s="30"/>
      <c r="Y178" s="58"/>
      <c r="Z178" s="30"/>
      <c r="AA178" s="58"/>
      <c r="AB178" s="30"/>
      <c r="AC178" s="58"/>
      <c r="AD178" s="30"/>
      <c r="AE178" s="58"/>
      <c r="AF178" s="55">
        <v>10000</v>
      </c>
      <c r="AG178" s="12">
        <f>+F178++H178++J178++L178++N178++P178++R178++T178++V178++X178++Z178++AB178++AD178+0</f>
        <v>0</v>
      </c>
      <c r="AH178" s="11">
        <f>G178+I178+K178+M178+O178+Q178+S178+U178+W178+Y178+AA178+AC178+AE178+0</f>
        <v>0</v>
      </c>
      <c r="AI178" s="6"/>
    </row>
    <row r="179" spans="1:35" x14ac:dyDescent="0.2">
      <c r="A179" s="4"/>
      <c r="B179" s="17">
        <v>171</v>
      </c>
      <c r="C179" s="41" t="s">
        <v>366</v>
      </c>
      <c r="D179" s="53"/>
      <c r="E179" s="15" t="s">
        <v>367</v>
      </c>
      <c r="F179" s="30"/>
      <c r="G179" s="31"/>
      <c r="H179" s="30"/>
      <c r="I179" s="58"/>
      <c r="J179" s="30"/>
      <c r="K179" s="58"/>
      <c r="L179" s="30"/>
      <c r="M179" s="58"/>
      <c r="N179" s="30"/>
      <c r="O179" s="58"/>
      <c r="P179" s="30"/>
      <c r="Q179" s="58"/>
      <c r="R179" s="30"/>
      <c r="S179" s="58"/>
      <c r="T179" s="30"/>
      <c r="U179" s="58"/>
      <c r="V179" s="30"/>
      <c r="W179" s="58"/>
      <c r="X179" s="30"/>
      <c r="Y179" s="58"/>
      <c r="Z179" s="30"/>
      <c r="AA179" s="58"/>
      <c r="AB179" s="30"/>
      <c r="AC179" s="58"/>
      <c r="AD179" s="30"/>
      <c r="AE179" s="58"/>
      <c r="AF179" s="55">
        <v>370000</v>
      </c>
      <c r="AG179" s="12">
        <f>+F179++H179++J179++L179++N179++P179++R179++T179++V179++X179++Z179++AB179++AD179+0</f>
        <v>0</v>
      </c>
      <c r="AH179" s="11">
        <f>G179+I179+K179+M179+O179+Q179+S179+U179+W179+Y179+AA179+AC179+AE179+0</f>
        <v>0</v>
      </c>
      <c r="AI179" s="6"/>
    </row>
    <row r="180" spans="1:35" x14ac:dyDescent="0.2">
      <c r="A180" s="4"/>
      <c r="B180" s="17">
        <v>172</v>
      </c>
      <c r="C180" s="41" t="s">
        <v>368</v>
      </c>
      <c r="D180" s="53"/>
      <c r="E180" s="15" t="s">
        <v>369</v>
      </c>
      <c r="F180" s="30"/>
      <c r="G180" s="31"/>
      <c r="H180" s="30"/>
      <c r="I180" s="58"/>
      <c r="J180" s="30"/>
      <c r="K180" s="58"/>
      <c r="L180" s="30"/>
      <c r="M180" s="58"/>
      <c r="N180" s="30"/>
      <c r="O180" s="58"/>
      <c r="P180" s="30"/>
      <c r="Q180" s="58"/>
      <c r="R180" s="30"/>
      <c r="S180" s="58"/>
      <c r="T180" s="30"/>
      <c r="U180" s="58"/>
      <c r="V180" s="30"/>
      <c r="W180" s="58"/>
      <c r="X180" s="30"/>
      <c r="Y180" s="58"/>
      <c r="Z180" s="30"/>
      <c r="AA180" s="58"/>
      <c r="AB180" s="30"/>
      <c r="AC180" s="58"/>
      <c r="AD180" s="30"/>
      <c r="AE180" s="58"/>
      <c r="AF180" s="55">
        <v>35000</v>
      </c>
      <c r="AG180" s="12">
        <f>+F180++H180++J180++L180++N180++P180++R180++T180++V180++X180++Z180++AB180++AD180+0</f>
        <v>0</v>
      </c>
      <c r="AH180" s="11">
        <f>G180+I180+K180+M180+O180+Q180+S180+U180+W180+Y180+AA180+AC180+AE180+0</f>
        <v>0</v>
      </c>
      <c r="AI180" s="6"/>
    </row>
    <row r="181" spans="1:35" x14ac:dyDescent="0.2">
      <c r="A181" s="4"/>
      <c r="B181" s="17">
        <v>173</v>
      </c>
      <c r="C181" s="41" t="s">
        <v>370</v>
      </c>
      <c r="D181" s="53"/>
      <c r="E181" s="15" t="s">
        <v>371</v>
      </c>
      <c r="F181" s="30"/>
      <c r="G181" s="31"/>
      <c r="H181" s="30"/>
      <c r="I181" s="58"/>
      <c r="J181" s="30"/>
      <c r="K181" s="58"/>
      <c r="L181" s="30"/>
      <c r="M181" s="58"/>
      <c r="N181" s="30"/>
      <c r="O181" s="58"/>
      <c r="P181" s="30"/>
      <c r="Q181" s="58"/>
      <c r="R181" s="30"/>
      <c r="S181" s="58"/>
      <c r="T181" s="30"/>
      <c r="U181" s="58"/>
      <c r="V181" s="30"/>
      <c r="W181" s="58"/>
      <c r="X181" s="30"/>
      <c r="Y181" s="58"/>
      <c r="Z181" s="30"/>
      <c r="AA181" s="58"/>
      <c r="AB181" s="30"/>
      <c r="AC181" s="58"/>
      <c r="AD181" s="30"/>
      <c r="AE181" s="58"/>
      <c r="AF181" s="55">
        <v>100000</v>
      </c>
      <c r="AG181" s="12">
        <f>+F181++H181++J181++L181++N181++P181++R181++T181++V181++X181++Z181++AB181++AD181+0</f>
        <v>0</v>
      </c>
      <c r="AH181" s="11">
        <f>G181+I181+K181+M181+O181+Q181+S181+U181+W181+Y181+AA181+AC181+AE181+0</f>
        <v>0</v>
      </c>
      <c r="AI181" s="6"/>
    </row>
    <row r="182" spans="1:35" x14ac:dyDescent="0.2">
      <c r="A182" s="4"/>
      <c r="B182" s="17">
        <v>174</v>
      </c>
      <c r="C182" s="41" t="s">
        <v>372</v>
      </c>
      <c r="D182" s="53"/>
      <c r="E182" s="15" t="s">
        <v>373</v>
      </c>
      <c r="F182" s="30"/>
      <c r="G182" s="31"/>
      <c r="H182" s="30"/>
      <c r="I182" s="58"/>
      <c r="J182" s="30"/>
      <c r="K182" s="58"/>
      <c r="L182" s="30"/>
      <c r="M182" s="58"/>
      <c r="N182" s="30"/>
      <c r="O182" s="58"/>
      <c r="P182" s="30"/>
      <c r="Q182" s="58"/>
      <c r="R182" s="30"/>
      <c r="S182" s="58"/>
      <c r="T182" s="30"/>
      <c r="U182" s="58"/>
      <c r="V182" s="30"/>
      <c r="W182" s="58"/>
      <c r="X182" s="30"/>
      <c r="Y182" s="58"/>
      <c r="Z182" s="30"/>
      <c r="AA182" s="58"/>
      <c r="AB182" s="30"/>
      <c r="AC182" s="58"/>
      <c r="AD182" s="30"/>
      <c r="AE182" s="58"/>
      <c r="AF182" s="55">
        <v>5000</v>
      </c>
      <c r="AG182" s="12">
        <f>+F182++H182++J182++L182++N182++P182++R182++T182++V182++X182++Z182++AB182++AD182+0</f>
        <v>0</v>
      </c>
      <c r="AH182" s="11">
        <f>G182+I182+K182+M182+O182+Q182+S182+U182+W182+Y182+AA182+AC182+AE182+0</f>
        <v>0</v>
      </c>
      <c r="AI182" s="6"/>
    </row>
    <row r="183" spans="1:35" x14ac:dyDescent="0.2">
      <c r="A183" s="4"/>
      <c r="B183" s="17">
        <v>175</v>
      </c>
      <c r="C183" s="41" t="s">
        <v>374</v>
      </c>
      <c r="D183" s="53"/>
      <c r="E183" s="15" t="s">
        <v>375</v>
      </c>
      <c r="F183" s="30"/>
      <c r="G183" s="31"/>
      <c r="H183" s="30"/>
      <c r="I183" s="58"/>
      <c r="J183" s="30"/>
      <c r="K183" s="58"/>
      <c r="L183" s="30"/>
      <c r="M183" s="58"/>
      <c r="N183" s="30"/>
      <c r="O183" s="58"/>
      <c r="P183" s="30"/>
      <c r="Q183" s="58"/>
      <c r="R183" s="30"/>
      <c r="S183" s="58"/>
      <c r="T183" s="30"/>
      <c r="U183" s="58"/>
      <c r="V183" s="30"/>
      <c r="W183" s="58"/>
      <c r="X183" s="30"/>
      <c r="Y183" s="58"/>
      <c r="Z183" s="30"/>
      <c r="AA183" s="58"/>
      <c r="AB183" s="30"/>
      <c r="AC183" s="58"/>
      <c r="AD183" s="30"/>
      <c r="AE183" s="58"/>
      <c r="AF183" s="55">
        <v>40000</v>
      </c>
      <c r="AG183" s="12">
        <f>+F183++H183++J183++L183++N183++P183++R183++T183++V183++X183++Z183++AB183++AD183+0</f>
        <v>0</v>
      </c>
      <c r="AH183" s="11">
        <f>G183+I183+K183+M183+O183+Q183+S183+U183+W183+Y183+AA183+AC183+AE183+0</f>
        <v>0</v>
      </c>
      <c r="AI183" s="6"/>
    </row>
    <row r="184" spans="1:35" x14ac:dyDescent="0.2">
      <c r="A184" s="4"/>
      <c r="B184" s="17">
        <v>176</v>
      </c>
      <c r="C184" s="41" t="s">
        <v>376</v>
      </c>
      <c r="D184" s="53"/>
      <c r="E184" s="15" t="s">
        <v>377</v>
      </c>
      <c r="F184" s="30"/>
      <c r="G184" s="31"/>
      <c r="H184" s="30"/>
      <c r="I184" s="58"/>
      <c r="J184" s="30"/>
      <c r="K184" s="58"/>
      <c r="L184" s="30"/>
      <c r="M184" s="58"/>
      <c r="N184" s="30"/>
      <c r="O184" s="58"/>
      <c r="P184" s="30"/>
      <c r="Q184" s="58"/>
      <c r="R184" s="30"/>
      <c r="S184" s="58"/>
      <c r="T184" s="30"/>
      <c r="U184" s="58"/>
      <c r="V184" s="30"/>
      <c r="W184" s="58"/>
      <c r="X184" s="30"/>
      <c r="Y184" s="58"/>
      <c r="Z184" s="30"/>
      <c r="AA184" s="58"/>
      <c r="AB184" s="30"/>
      <c r="AC184" s="58"/>
      <c r="AD184" s="30"/>
      <c r="AE184" s="58"/>
      <c r="AF184" s="55">
        <v>45000</v>
      </c>
      <c r="AG184" s="12">
        <f>+F184++H184++J184++L184++N184++P184++R184++T184++V184++X184++Z184++AB184++AD184+0</f>
        <v>0</v>
      </c>
      <c r="AH184" s="11">
        <f>G184+I184+K184+M184+O184+Q184+S184+U184+W184+Y184+AA184+AC184+AE184+0</f>
        <v>0</v>
      </c>
      <c r="AI184" s="6"/>
    </row>
    <row r="185" spans="1:35" x14ac:dyDescent="0.2">
      <c r="A185" s="4"/>
      <c r="B185" s="17">
        <v>177</v>
      </c>
      <c r="C185" s="41" t="s">
        <v>378</v>
      </c>
      <c r="D185" s="53"/>
      <c r="E185" s="15" t="s">
        <v>379</v>
      </c>
      <c r="F185" s="30"/>
      <c r="G185" s="31"/>
      <c r="H185" s="30"/>
      <c r="I185" s="58"/>
      <c r="J185" s="30"/>
      <c r="K185" s="58"/>
      <c r="L185" s="30"/>
      <c r="M185" s="58"/>
      <c r="N185" s="30"/>
      <c r="O185" s="58"/>
      <c r="P185" s="30"/>
      <c r="Q185" s="58"/>
      <c r="R185" s="30"/>
      <c r="S185" s="58"/>
      <c r="T185" s="30"/>
      <c r="U185" s="58"/>
      <c r="V185" s="30"/>
      <c r="W185" s="58"/>
      <c r="X185" s="30"/>
      <c r="Y185" s="58"/>
      <c r="Z185" s="30"/>
      <c r="AA185" s="58"/>
      <c r="AB185" s="30"/>
      <c r="AC185" s="58"/>
      <c r="AD185" s="30"/>
      <c r="AE185" s="58"/>
      <c r="AF185" s="55">
        <v>5000</v>
      </c>
      <c r="AG185" s="12">
        <f>+F185++H185++J185++L185++N185++P185++R185++T185++V185++X185++Z185++AB185++AD185+0</f>
        <v>0</v>
      </c>
      <c r="AH185" s="11">
        <f>G185+I185+K185+M185+O185+Q185+S185+U185+W185+Y185+AA185+AC185+AE185+0</f>
        <v>0</v>
      </c>
      <c r="AI185" s="6"/>
    </row>
    <row r="186" spans="1:35" x14ac:dyDescent="0.2">
      <c r="A186" s="4"/>
      <c r="B186" s="17">
        <v>178</v>
      </c>
      <c r="C186" s="41" t="s">
        <v>380</v>
      </c>
      <c r="D186" s="53"/>
      <c r="E186" s="15" t="s">
        <v>381</v>
      </c>
      <c r="F186" s="30"/>
      <c r="G186" s="31"/>
      <c r="H186" s="30"/>
      <c r="I186" s="58"/>
      <c r="J186" s="30"/>
      <c r="K186" s="58"/>
      <c r="L186" s="30"/>
      <c r="M186" s="58"/>
      <c r="N186" s="30"/>
      <c r="O186" s="58"/>
      <c r="P186" s="30"/>
      <c r="Q186" s="58"/>
      <c r="R186" s="30"/>
      <c r="S186" s="58"/>
      <c r="T186" s="30"/>
      <c r="U186" s="58"/>
      <c r="V186" s="30"/>
      <c r="W186" s="58"/>
      <c r="X186" s="30"/>
      <c r="Y186" s="58"/>
      <c r="Z186" s="30"/>
      <c r="AA186" s="58"/>
      <c r="AB186" s="30"/>
      <c r="AC186" s="58"/>
      <c r="AD186" s="30"/>
      <c r="AE186" s="58"/>
      <c r="AF186" s="55">
        <v>130490</v>
      </c>
      <c r="AG186" s="12">
        <f>+F186++H186++J186++L186++N186++P186++R186++T186++V186++X186++Z186++AB186++AD186+0</f>
        <v>0</v>
      </c>
      <c r="AH186" s="11">
        <f>G186+I186+K186+M186+O186+Q186+S186+U186+W186+Y186+AA186+AC186+AE186+0</f>
        <v>0</v>
      </c>
      <c r="AI186" s="6"/>
    </row>
    <row r="187" spans="1:35" x14ac:dyDescent="0.2">
      <c r="A187" s="4"/>
      <c r="B187" s="17">
        <v>179</v>
      </c>
      <c r="C187" s="41" t="s">
        <v>382</v>
      </c>
      <c r="D187" s="53"/>
      <c r="E187" s="15" t="s">
        <v>383</v>
      </c>
      <c r="F187" s="30"/>
      <c r="G187" s="31"/>
      <c r="H187" s="30"/>
      <c r="I187" s="58"/>
      <c r="J187" s="30"/>
      <c r="K187" s="58"/>
      <c r="L187" s="30"/>
      <c r="M187" s="58"/>
      <c r="N187" s="30"/>
      <c r="O187" s="58"/>
      <c r="P187" s="30"/>
      <c r="Q187" s="58"/>
      <c r="R187" s="30"/>
      <c r="S187" s="58"/>
      <c r="T187" s="30"/>
      <c r="U187" s="58"/>
      <c r="V187" s="30"/>
      <c r="W187" s="58"/>
      <c r="X187" s="30"/>
      <c r="Y187" s="58"/>
      <c r="Z187" s="30"/>
      <c r="AA187" s="58"/>
      <c r="AB187" s="30"/>
      <c r="AC187" s="58"/>
      <c r="AD187" s="30"/>
      <c r="AE187" s="58"/>
      <c r="AF187" s="55">
        <v>70000</v>
      </c>
      <c r="AG187" s="12">
        <f>+F187++H187++J187++L187++N187++P187++R187++T187++V187++X187++Z187++AB187++AD187+0</f>
        <v>0</v>
      </c>
      <c r="AH187" s="11">
        <f>G187+I187+K187+M187+O187+Q187+S187+U187+W187+Y187+AA187+AC187+AE187+0</f>
        <v>0</v>
      </c>
      <c r="AI187" s="6"/>
    </row>
    <row r="188" spans="1:35" x14ac:dyDescent="0.2">
      <c r="A188" s="4"/>
      <c r="B188" s="17">
        <v>180</v>
      </c>
      <c r="C188" s="41" t="s">
        <v>384</v>
      </c>
      <c r="D188" s="53"/>
      <c r="E188" s="15" t="s">
        <v>385</v>
      </c>
      <c r="F188" s="30"/>
      <c r="G188" s="31"/>
      <c r="H188" s="30"/>
      <c r="I188" s="58"/>
      <c r="J188" s="30"/>
      <c r="K188" s="58"/>
      <c r="L188" s="30"/>
      <c r="M188" s="58"/>
      <c r="N188" s="30"/>
      <c r="O188" s="58"/>
      <c r="P188" s="30"/>
      <c r="Q188" s="58"/>
      <c r="R188" s="30"/>
      <c r="S188" s="58"/>
      <c r="T188" s="30"/>
      <c r="U188" s="58"/>
      <c r="V188" s="30"/>
      <c r="W188" s="58"/>
      <c r="X188" s="30"/>
      <c r="Y188" s="58"/>
      <c r="Z188" s="30"/>
      <c r="AA188" s="58"/>
      <c r="AB188" s="30"/>
      <c r="AC188" s="58"/>
      <c r="AD188" s="30"/>
      <c r="AE188" s="58"/>
      <c r="AF188" s="55">
        <v>125000</v>
      </c>
      <c r="AG188" s="12">
        <f>+F188++H188++J188++L188++N188++P188++R188++T188++V188++X188++Z188++AB188++AD188+0</f>
        <v>0</v>
      </c>
      <c r="AH188" s="11">
        <f>G188+I188+K188+M188+O188+Q188+S188+U188+W188+Y188+AA188+AC188+AE188+0</f>
        <v>0</v>
      </c>
      <c r="AI188" s="6"/>
    </row>
    <row r="189" spans="1:35" x14ac:dyDescent="0.2">
      <c r="A189" s="4"/>
      <c r="B189" s="17">
        <v>181</v>
      </c>
      <c r="C189" s="41" t="s">
        <v>386</v>
      </c>
      <c r="D189" s="53"/>
      <c r="E189" s="15" t="s">
        <v>387</v>
      </c>
      <c r="F189" s="30"/>
      <c r="G189" s="31"/>
      <c r="H189" s="30"/>
      <c r="I189" s="58"/>
      <c r="J189" s="30"/>
      <c r="K189" s="58"/>
      <c r="L189" s="30"/>
      <c r="M189" s="58"/>
      <c r="N189" s="30"/>
      <c r="O189" s="58"/>
      <c r="P189" s="30"/>
      <c r="Q189" s="58"/>
      <c r="R189" s="30"/>
      <c r="S189" s="58"/>
      <c r="T189" s="30"/>
      <c r="U189" s="58"/>
      <c r="V189" s="30"/>
      <c r="W189" s="58"/>
      <c r="X189" s="30"/>
      <c r="Y189" s="58"/>
      <c r="Z189" s="30"/>
      <c r="AA189" s="58"/>
      <c r="AB189" s="30"/>
      <c r="AC189" s="58"/>
      <c r="AD189" s="30"/>
      <c r="AE189" s="58"/>
      <c r="AF189" s="55">
        <v>34160</v>
      </c>
      <c r="AG189" s="12">
        <f>+F189++H189++J189++L189++N189++P189++R189++T189++V189++X189++Z189++AB189++AD189+0</f>
        <v>0</v>
      </c>
      <c r="AH189" s="11">
        <f>G189+I189+K189+M189+O189+Q189+S189+U189+W189+Y189+AA189+AC189+AE189+0</f>
        <v>0</v>
      </c>
      <c r="AI189" s="6"/>
    </row>
    <row r="190" spans="1:35" x14ac:dyDescent="0.2">
      <c r="A190" s="4"/>
      <c r="B190" s="17">
        <v>182</v>
      </c>
      <c r="C190" s="41" t="s">
        <v>388</v>
      </c>
      <c r="D190" s="53"/>
      <c r="E190" s="15" t="s">
        <v>389</v>
      </c>
      <c r="F190" s="30"/>
      <c r="G190" s="31"/>
      <c r="H190" s="30"/>
      <c r="I190" s="58"/>
      <c r="J190" s="30"/>
      <c r="K190" s="58"/>
      <c r="L190" s="30"/>
      <c r="M190" s="58"/>
      <c r="N190" s="30"/>
      <c r="O190" s="58"/>
      <c r="P190" s="30"/>
      <c r="Q190" s="58"/>
      <c r="R190" s="30"/>
      <c r="S190" s="58"/>
      <c r="T190" s="30"/>
      <c r="U190" s="58"/>
      <c r="V190" s="30"/>
      <c r="W190" s="58"/>
      <c r="X190" s="30"/>
      <c r="Y190" s="58"/>
      <c r="Z190" s="30"/>
      <c r="AA190" s="58"/>
      <c r="AB190" s="30"/>
      <c r="AC190" s="58"/>
      <c r="AD190" s="30"/>
      <c r="AE190" s="58"/>
      <c r="AF190" s="55">
        <v>40000</v>
      </c>
      <c r="AG190" s="12">
        <f>+F190++H190++J190++L190++N190++P190++R190++T190++V190++X190++Z190++AB190++AD190+0</f>
        <v>0</v>
      </c>
      <c r="AH190" s="11">
        <f>G190+I190+K190+M190+O190+Q190+S190+U190+W190+Y190+AA190+AC190+AE190+0</f>
        <v>0</v>
      </c>
      <c r="AI190" s="6"/>
    </row>
    <row r="191" spans="1:35" x14ac:dyDescent="0.2">
      <c r="A191" s="4"/>
      <c r="B191" s="17">
        <v>183</v>
      </c>
      <c r="C191" s="41" t="s">
        <v>390</v>
      </c>
      <c r="D191" s="53"/>
      <c r="E191" s="15" t="s">
        <v>391</v>
      </c>
      <c r="F191" s="30"/>
      <c r="G191" s="31"/>
      <c r="H191" s="30"/>
      <c r="I191" s="58"/>
      <c r="J191" s="30"/>
      <c r="K191" s="58"/>
      <c r="L191" s="30"/>
      <c r="M191" s="58"/>
      <c r="N191" s="30"/>
      <c r="O191" s="58"/>
      <c r="P191" s="30"/>
      <c r="Q191" s="58"/>
      <c r="R191" s="30"/>
      <c r="S191" s="58"/>
      <c r="T191" s="30"/>
      <c r="U191" s="58"/>
      <c r="V191" s="30"/>
      <c r="W191" s="58"/>
      <c r="X191" s="30"/>
      <c r="Y191" s="58"/>
      <c r="Z191" s="30"/>
      <c r="AA191" s="58"/>
      <c r="AB191" s="30"/>
      <c r="AC191" s="58"/>
      <c r="AD191" s="30"/>
      <c r="AE191" s="58"/>
      <c r="AF191" s="55">
        <v>20000</v>
      </c>
      <c r="AG191" s="12">
        <f>+F191++H191++J191++L191++N191++P191++R191++T191++V191++X191++Z191++AB191++AD191+0</f>
        <v>0</v>
      </c>
      <c r="AH191" s="11">
        <f>G191+I191+K191+M191+O191+Q191+S191+U191+W191+Y191+AA191+AC191+AE191+0</f>
        <v>0</v>
      </c>
      <c r="AI191" s="6"/>
    </row>
    <row r="192" spans="1:35" x14ac:dyDescent="0.2">
      <c r="A192" s="4"/>
      <c r="B192" s="17">
        <v>184</v>
      </c>
      <c r="C192" s="41" t="s">
        <v>392</v>
      </c>
      <c r="D192" s="53"/>
      <c r="E192" s="15" t="s">
        <v>393</v>
      </c>
      <c r="F192" s="30"/>
      <c r="G192" s="31"/>
      <c r="H192" s="30"/>
      <c r="I192" s="58"/>
      <c r="J192" s="30"/>
      <c r="K192" s="58"/>
      <c r="L192" s="30"/>
      <c r="M192" s="58"/>
      <c r="N192" s="30"/>
      <c r="O192" s="58"/>
      <c r="P192" s="30"/>
      <c r="Q192" s="58"/>
      <c r="R192" s="30"/>
      <c r="S192" s="58"/>
      <c r="T192" s="30"/>
      <c r="U192" s="58"/>
      <c r="V192" s="30"/>
      <c r="W192" s="58"/>
      <c r="X192" s="30"/>
      <c r="Y192" s="58"/>
      <c r="Z192" s="30"/>
      <c r="AA192" s="58"/>
      <c r="AB192" s="30"/>
      <c r="AC192" s="58"/>
      <c r="AD192" s="30"/>
      <c r="AE192" s="58"/>
      <c r="AF192" s="55">
        <v>650000</v>
      </c>
      <c r="AG192" s="12">
        <f>+F192++H192++J192++L192++N192++P192++R192++T192++V192++X192++Z192++AB192++AD192+0</f>
        <v>0</v>
      </c>
      <c r="AH192" s="11">
        <f>G192+I192+K192+M192+O192+Q192+S192+U192+W192+Y192+AA192+AC192+AE192+0</f>
        <v>0</v>
      </c>
      <c r="AI192" s="6"/>
    </row>
    <row r="193" spans="1:35" x14ac:dyDescent="0.2">
      <c r="A193" s="4"/>
      <c r="B193" s="17">
        <v>185</v>
      </c>
      <c r="C193" s="41" t="s">
        <v>394</v>
      </c>
      <c r="D193" s="53"/>
      <c r="E193" s="15" t="s">
        <v>395</v>
      </c>
      <c r="F193" s="30"/>
      <c r="G193" s="31"/>
      <c r="H193" s="30"/>
      <c r="I193" s="58"/>
      <c r="J193" s="30"/>
      <c r="K193" s="58"/>
      <c r="L193" s="30"/>
      <c r="M193" s="58"/>
      <c r="N193" s="30"/>
      <c r="O193" s="58"/>
      <c r="P193" s="30"/>
      <c r="Q193" s="58"/>
      <c r="R193" s="30"/>
      <c r="S193" s="58"/>
      <c r="T193" s="30"/>
      <c r="U193" s="58"/>
      <c r="V193" s="30"/>
      <c r="W193" s="58"/>
      <c r="X193" s="30"/>
      <c r="Y193" s="58"/>
      <c r="Z193" s="30"/>
      <c r="AA193" s="58"/>
      <c r="AB193" s="30"/>
      <c r="AC193" s="58"/>
      <c r="AD193" s="30"/>
      <c r="AE193" s="58"/>
      <c r="AF193" s="55">
        <v>30000</v>
      </c>
      <c r="AG193" s="12">
        <f>+F193++H193++J193++L193++N193++P193++R193++T193++V193++X193++Z193++AB193++AD193+0</f>
        <v>0</v>
      </c>
      <c r="AH193" s="11">
        <f>G193+I193+K193+M193+O193+Q193+S193+U193+W193+Y193+AA193+AC193+AE193+0</f>
        <v>0</v>
      </c>
      <c r="AI193" s="6"/>
    </row>
    <row r="194" spans="1:35" x14ac:dyDescent="0.2">
      <c r="A194" s="4"/>
      <c r="B194" s="17">
        <v>186</v>
      </c>
      <c r="C194" s="41" t="s">
        <v>396</v>
      </c>
      <c r="D194" s="53"/>
      <c r="E194" s="15" t="s">
        <v>397</v>
      </c>
      <c r="F194" s="30"/>
      <c r="G194" s="31"/>
      <c r="H194" s="30"/>
      <c r="I194" s="58"/>
      <c r="J194" s="30"/>
      <c r="K194" s="58"/>
      <c r="L194" s="30"/>
      <c r="M194" s="58"/>
      <c r="N194" s="30"/>
      <c r="O194" s="58"/>
      <c r="P194" s="30"/>
      <c r="Q194" s="58"/>
      <c r="R194" s="30"/>
      <c r="S194" s="58"/>
      <c r="T194" s="30"/>
      <c r="U194" s="58"/>
      <c r="V194" s="30"/>
      <c r="W194" s="58"/>
      <c r="X194" s="30"/>
      <c r="Y194" s="58"/>
      <c r="Z194" s="30"/>
      <c r="AA194" s="58"/>
      <c r="AB194" s="30"/>
      <c r="AC194" s="58"/>
      <c r="AD194" s="30"/>
      <c r="AE194" s="58"/>
      <c r="AF194" s="55">
        <v>250000</v>
      </c>
      <c r="AG194" s="12">
        <f>+F194++H194++J194++L194++N194++P194++R194++T194++V194++X194++Z194++AB194++AD194+0</f>
        <v>0</v>
      </c>
      <c r="AH194" s="11">
        <f>G194+I194+K194+M194+O194+Q194+S194+U194+W194+Y194+AA194+AC194+AE194+0</f>
        <v>0</v>
      </c>
      <c r="AI194" s="6"/>
    </row>
    <row r="195" spans="1:35" x14ac:dyDescent="0.2">
      <c r="A195" s="4"/>
      <c r="B195" s="17">
        <v>187</v>
      </c>
      <c r="C195" s="41" t="s">
        <v>398</v>
      </c>
      <c r="D195" s="53"/>
      <c r="E195" s="15" t="s">
        <v>399</v>
      </c>
      <c r="F195" s="30"/>
      <c r="G195" s="31"/>
      <c r="H195" s="30"/>
      <c r="I195" s="58"/>
      <c r="J195" s="30"/>
      <c r="K195" s="58"/>
      <c r="L195" s="30"/>
      <c r="M195" s="58"/>
      <c r="N195" s="30"/>
      <c r="O195" s="58"/>
      <c r="P195" s="30"/>
      <c r="Q195" s="58"/>
      <c r="R195" s="30"/>
      <c r="S195" s="58"/>
      <c r="T195" s="30"/>
      <c r="U195" s="58"/>
      <c r="V195" s="30"/>
      <c r="W195" s="58"/>
      <c r="X195" s="30"/>
      <c r="Y195" s="58"/>
      <c r="Z195" s="30"/>
      <c r="AA195" s="58"/>
      <c r="AB195" s="30"/>
      <c r="AC195" s="58"/>
      <c r="AD195" s="30"/>
      <c r="AE195" s="58"/>
      <c r="AF195" s="55">
        <v>150000</v>
      </c>
      <c r="AG195" s="12">
        <f>+F195++H195++J195++L195++N195++P195++R195++T195++V195++X195++Z195++AB195++AD195+0</f>
        <v>0</v>
      </c>
      <c r="AH195" s="11">
        <f>G195+I195+K195+M195+O195+Q195+S195+U195+W195+Y195+AA195+AC195+AE195+0</f>
        <v>0</v>
      </c>
      <c r="AI195" s="6"/>
    </row>
    <row r="196" spans="1:35" x14ac:dyDescent="0.2">
      <c r="A196" s="4"/>
      <c r="B196" s="17">
        <v>188</v>
      </c>
      <c r="C196" s="41" t="s">
        <v>400</v>
      </c>
      <c r="D196" s="53"/>
      <c r="E196" s="15" t="s">
        <v>401</v>
      </c>
      <c r="F196" s="30"/>
      <c r="G196" s="31"/>
      <c r="H196" s="30"/>
      <c r="I196" s="58"/>
      <c r="J196" s="30"/>
      <c r="K196" s="58"/>
      <c r="L196" s="30"/>
      <c r="M196" s="58"/>
      <c r="N196" s="30"/>
      <c r="O196" s="58"/>
      <c r="P196" s="30"/>
      <c r="Q196" s="58"/>
      <c r="R196" s="30"/>
      <c r="S196" s="58"/>
      <c r="T196" s="30"/>
      <c r="U196" s="58"/>
      <c r="V196" s="30"/>
      <c r="W196" s="58"/>
      <c r="X196" s="30"/>
      <c r="Y196" s="58"/>
      <c r="Z196" s="30"/>
      <c r="AA196" s="58"/>
      <c r="AB196" s="30"/>
      <c r="AC196" s="58"/>
      <c r="AD196" s="30"/>
      <c r="AE196" s="58"/>
      <c r="AF196" s="55">
        <v>20000</v>
      </c>
      <c r="AG196" s="12">
        <f>+F196++H196++J196++L196++N196++P196++R196++T196++V196++X196++Z196++AB196++AD196+0</f>
        <v>0</v>
      </c>
      <c r="AH196" s="11">
        <f>G196+I196+K196+M196+O196+Q196+S196+U196+W196+Y196+AA196+AC196+AE196+0</f>
        <v>0</v>
      </c>
      <c r="AI196" s="6"/>
    </row>
    <row r="197" spans="1:35" x14ac:dyDescent="0.2">
      <c r="A197" s="4"/>
      <c r="B197" s="17">
        <v>189</v>
      </c>
      <c r="C197" s="41" t="s">
        <v>402</v>
      </c>
      <c r="D197" s="53"/>
      <c r="E197" s="15" t="s">
        <v>403</v>
      </c>
      <c r="F197" s="30"/>
      <c r="G197" s="31"/>
      <c r="H197" s="30"/>
      <c r="I197" s="58"/>
      <c r="J197" s="30"/>
      <c r="K197" s="58"/>
      <c r="L197" s="30"/>
      <c r="M197" s="58"/>
      <c r="N197" s="30"/>
      <c r="O197" s="58"/>
      <c r="P197" s="30"/>
      <c r="Q197" s="58"/>
      <c r="R197" s="30"/>
      <c r="S197" s="58"/>
      <c r="T197" s="30"/>
      <c r="U197" s="58"/>
      <c r="V197" s="30"/>
      <c r="W197" s="58"/>
      <c r="X197" s="30"/>
      <c r="Y197" s="58"/>
      <c r="Z197" s="30"/>
      <c r="AA197" s="58"/>
      <c r="AB197" s="30"/>
      <c r="AC197" s="58"/>
      <c r="AD197" s="30"/>
      <c r="AE197" s="58"/>
      <c r="AF197" s="55">
        <v>30000</v>
      </c>
      <c r="AG197" s="12">
        <f>+F197++H197++J197++L197++N197++P197++R197++T197++V197++X197++Z197++AB197++AD197+0</f>
        <v>0</v>
      </c>
      <c r="AH197" s="11">
        <f>G197+I197+K197+M197+O197+Q197+S197+U197+W197+Y197+AA197+AC197+AE197+0</f>
        <v>0</v>
      </c>
      <c r="AI197" s="6"/>
    </row>
    <row r="198" spans="1:35" x14ac:dyDescent="0.2">
      <c r="A198" s="4"/>
      <c r="B198" s="17">
        <v>190</v>
      </c>
      <c r="C198" s="41" t="s">
        <v>404</v>
      </c>
      <c r="D198" s="53"/>
      <c r="E198" s="15" t="s">
        <v>405</v>
      </c>
      <c r="F198" s="30"/>
      <c r="G198" s="31"/>
      <c r="H198" s="30"/>
      <c r="I198" s="58"/>
      <c r="J198" s="30"/>
      <c r="K198" s="58"/>
      <c r="L198" s="30"/>
      <c r="M198" s="58"/>
      <c r="N198" s="30"/>
      <c r="O198" s="58"/>
      <c r="P198" s="30"/>
      <c r="Q198" s="58"/>
      <c r="R198" s="30"/>
      <c r="S198" s="58"/>
      <c r="T198" s="30"/>
      <c r="U198" s="58"/>
      <c r="V198" s="30"/>
      <c r="W198" s="58"/>
      <c r="X198" s="30"/>
      <c r="Y198" s="58"/>
      <c r="Z198" s="30"/>
      <c r="AA198" s="58"/>
      <c r="AB198" s="30"/>
      <c r="AC198" s="58"/>
      <c r="AD198" s="30"/>
      <c r="AE198" s="58"/>
      <c r="AF198" s="55">
        <v>420000</v>
      </c>
      <c r="AG198" s="12">
        <f>+F198++H198++J198++L198++N198++P198++R198++T198++V198++X198++Z198++AB198++AD198+0</f>
        <v>0</v>
      </c>
      <c r="AH198" s="11">
        <f>G198+I198+K198+M198+O198+Q198+S198+U198+W198+Y198+AA198+AC198+AE198+0</f>
        <v>0</v>
      </c>
      <c r="AI198" s="6"/>
    </row>
    <row r="199" spans="1:35" x14ac:dyDescent="0.2">
      <c r="A199" s="4"/>
      <c r="B199" s="17">
        <v>191</v>
      </c>
      <c r="C199" s="41" t="s">
        <v>406</v>
      </c>
      <c r="D199" s="53"/>
      <c r="E199" s="15" t="s">
        <v>407</v>
      </c>
      <c r="F199" s="30"/>
      <c r="G199" s="31"/>
      <c r="H199" s="30"/>
      <c r="I199" s="58"/>
      <c r="J199" s="30"/>
      <c r="K199" s="58"/>
      <c r="L199" s="30"/>
      <c r="M199" s="58"/>
      <c r="N199" s="30"/>
      <c r="O199" s="58"/>
      <c r="P199" s="30"/>
      <c r="Q199" s="58"/>
      <c r="R199" s="30"/>
      <c r="S199" s="58"/>
      <c r="T199" s="30"/>
      <c r="U199" s="58"/>
      <c r="V199" s="30"/>
      <c r="W199" s="58"/>
      <c r="X199" s="30"/>
      <c r="Y199" s="58"/>
      <c r="Z199" s="30"/>
      <c r="AA199" s="58"/>
      <c r="AB199" s="30"/>
      <c r="AC199" s="58"/>
      <c r="AD199" s="30"/>
      <c r="AE199" s="58"/>
      <c r="AF199" s="55">
        <v>20000</v>
      </c>
      <c r="AG199" s="12">
        <f>+F199++H199++J199++L199++N199++P199++R199++T199++V199++X199++Z199++AB199++AD199+0</f>
        <v>0</v>
      </c>
      <c r="AH199" s="11">
        <f>G199+I199+K199+M199+O199+Q199+S199+U199+W199+Y199+AA199+AC199+AE199+0</f>
        <v>0</v>
      </c>
      <c r="AI199" s="6"/>
    </row>
    <row r="200" spans="1:35" x14ac:dyDescent="0.2">
      <c r="A200" s="4"/>
      <c r="B200" s="17">
        <v>192</v>
      </c>
      <c r="C200" s="41" t="s">
        <v>408</v>
      </c>
      <c r="D200" s="53"/>
      <c r="E200" s="15" t="s">
        <v>409</v>
      </c>
      <c r="F200" s="30"/>
      <c r="G200" s="31"/>
      <c r="H200" s="30"/>
      <c r="I200" s="58"/>
      <c r="J200" s="30"/>
      <c r="K200" s="58"/>
      <c r="L200" s="30"/>
      <c r="M200" s="58"/>
      <c r="N200" s="30"/>
      <c r="O200" s="58"/>
      <c r="P200" s="30"/>
      <c r="Q200" s="58"/>
      <c r="R200" s="30"/>
      <c r="S200" s="58"/>
      <c r="T200" s="30"/>
      <c r="U200" s="58"/>
      <c r="V200" s="30"/>
      <c r="W200" s="58"/>
      <c r="X200" s="30"/>
      <c r="Y200" s="58"/>
      <c r="Z200" s="30"/>
      <c r="AA200" s="58"/>
      <c r="AB200" s="30"/>
      <c r="AC200" s="58"/>
      <c r="AD200" s="30"/>
      <c r="AE200" s="58"/>
      <c r="AF200" s="55">
        <v>30000</v>
      </c>
      <c r="AG200" s="12">
        <f>+F200++H200++J200++L200++N200++P200++R200++T200++V200++X200++Z200++AB200++AD200+0</f>
        <v>0</v>
      </c>
      <c r="AH200" s="11">
        <f>G200+I200+K200+M200+O200+Q200+S200+U200+W200+Y200+AA200+AC200+AE200+0</f>
        <v>0</v>
      </c>
      <c r="AI200" s="6"/>
    </row>
    <row r="201" spans="1:35" x14ac:dyDescent="0.2">
      <c r="A201" s="4"/>
      <c r="B201" s="17">
        <v>193</v>
      </c>
      <c r="C201" s="41" t="s">
        <v>410</v>
      </c>
      <c r="D201" s="53"/>
      <c r="E201" s="15" t="s">
        <v>411</v>
      </c>
      <c r="F201" s="30"/>
      <c r="G201" s="31"/>
      <c r="H201" s="30"/>
      <c r="I201" s="58"/>
      <c r="J201" s="30"/>
      <c r="K201" s="58"/>
      <c r="L201" s="30"/>
      <c r="M201" s="58"/>
      <c r="N201" s="30"/>
      <c r="O201" s="58"/>
      <c r="P201" s="30"/>
      <c r="Q201" s="58"/>
      <c r="R201" s="30"/>
      <c r="S201" s="58"/>
      <c r="T201" s="30"/>
      <c r="U201" s="58"/>
      <c r="V201" s="30"/>
      <c r="W201" s="58"/>
      <c r="X201" s="30"/>
      <c r="Y201" s="58"/>
      <c r="Z201" s="30"/>
      <c r="AA201" s="58"/>
      <c r="AB201" s="30"/>
      <c r="AC201" s="58"/>
      <c r="AD201" s="30"/>
      <c r="AE201" s="58"/>
      <c r="AF201" s="55">
        <v>50000</v>
      </c>
      <c r="AG201" s="12">
        <f>+F201++H201++J201++L201++N201++P201++R201++T201++V201++X201++Z201++AB201++AD201+0</f>
        <v>0</v>
      </c>
      <c r="AH201" s="11">
        <f>G201+I201+K201+M201+O201+Q201+S201+U201+W201+Y201+AA201+AC201+AE201+0</f>
        <v>0</v>
      </c>
      <c r="AI201" s="6"/>
    </row>
    <row r="202" spans="1:35" x14ac:dyDescent="0.2">
      <c r="A202" s="4"/>
      <c r="B202" s="17">
        <v>194</v>
      </c>
      <c r="C202" s="41" t="s">
        <v>412</v>
      </c>
      <c r="D202" s="53"/>
      <c r="E202" s="15" t="s">
        <v>413</v>
      </c>
      <c r="F202" s="30"/>
      <c r="G202" s="31"/>
      <c r="H202" s="30"/>
      <c r="I202" s="58"/>
      <c r="J202" s="30"/>
      <c r="K202" s="58"/>
      <c r="L202" s="30"/>
      <c r="M202" s="58"/>
      <c r="N202" s="30"/>
      <c r="O202" s="58"/>
      <c r="P202" s="30"/>
      <c r="Q202" s="58"/>
      <c r="R202" s="30"/>
      <c r="S202" s="58"/>
      <c r="T202" s="30"/>
      <c r="U202" s="58"/>
      <c r="V202" s="30"/>
      <c r="W202" s="58"/>
      <c r="X202" s="30"/>
      <c r="Y202" s="58"/>
      <c r="Z202" s="30"/>
      <c r="AA202" s="58"/>
      <c r="AB202" s="30"/>
      <c r="AC202" s="58"/>
      <c r="AD202" s="30"/>
      <c r="AE202" s="58"/>
      <c r="AF202" s="55">
        <v>58600</v>
      </c>
      <c r="AG202" s="12">
        <f>+F202++H202++J202++L202++N202++P202++R202++T202++V202++X202++Z202++AB202++AD202+0</f>
        <v>0</v>
      </c>
      <c r="AH202" s="11">
        <f>G202+I202+K202+M202+O202+Q202+S202+U202+W202+Y202+AA202+AC202+AE202+0</f>
        <v>0</v>
      </c>
      <c r="AI202" s="6"/>
    </row>
    <row r="203" spans="1:35" x14ac:dyDescent="0.2">
      <c r="A203" s="4"/>
      <c r="B203" s="17">
        <v>195</v>
      </c>
      <c r="C203" s="41" t="s">
        <v>414</v>
      </c>
      <c r="D203" s="53"/>
      <c r="E203" s="15" t="s">
        <v>415</v>
      </c>
      <c r="F203" s="30"/>
      <c r="G203" s="31"/>
      <c r="H203" s="30"/>
      <c r="I203" s="58"/>
      <c r="J203" s="30"/>
      <c r="K203" s="58"/>
      <c r="L203" s="30"/>
      <c r="M203" s="58"/>
      <c r="N203" s="30"/>
      <c r="O203" s="58"/>
      <c r="P203" s="30"/>
      <c r="Q203" s="58"/>
      <c r="R203" s="30"/>
      <c r="S203" s="58"/>
      <c r="T203" s="30"/>
      <c r="U203" s="58"/>
      <c r="V203" s="30"/>
      <c r="W203" s="58"/>
      <c r="X203" s="30"/>
      <c r="Y203" s="58"/>
      <c r="Z203" s="30"/>
      <c r="AA203" s="58"/>
      <c r="AB203" s="30"/>
      <c r="AC203" s="58"/>
      <c r="AD203" s="30"/>
      <c r="AE203" s="58"/>
      <c r="AF203" s="55">
        <v>60000</v>
      </c>
      <c r="AG203" s="12">
        <f>+F203++H203++J203++L203++N203++P203++R203++T203++V203++X203++Z203++AB203++AD203+0</f>
        <v>0</v>
      </c>
      <c r="AH203" s="11">
        <f>G203+I203+K203+M203+O203+Q203+S203+U203+W203+Y203+AA203+AC203+AE203+0</f>
        <v>0</v>
      </c>
      <c r="AI203" s="6"/>
    </row>
    <row r="204" spans="1:35" x14ac:dyDescent="0.2">
      <c r="A204" s="4"/>
      <c r="B204" s="17">
        <v>196</v>
      </c>
      <c r="C204" s="41" t="s">
        <v>416</v>
      </c>
      <c r="D204" s="53"/>
      <c r="E204" s="15" t="s">
        <v>417</v>
      </c>
      <c r="F204" s="30"/>
      <c r="G204" s="31"/>
      <c r="H204" s="30"/>
      <c r="I204" s="58"/>
      <c r="J204" s="30"/>
      <c r="K204" s="58"/>
      <c r="L204" s="30"/>
      <c r="M204" s="58"/>
      <c r="N204" s="30"/>
      <c r="O204" s="58"/>
      <c r="P204" s="30"/>
      <c r="Q204" s="58"/>
      <c r="R204" s="30"/>
      <c r="S204" s="58"/>
      <c r="T204" s="30"/>
      <c r="U204" s="58"/>
      <c r="V204" s="30"/>
      <c r="W204" s="58"/>
      <c r="X204" s="30"/>
      <c r="Y204" s="58"/>
      <c r="Z204" s="30"/>
      <c r="AA204" s="58"/>
      <c r="AB204" s="30"/>
      <c r="AC204" s="58"/>
      <c r="AD204" s="30"/>
      <c r="AE204" s="58"/>
      <c r="AF204" s="55">
        <v>20000</v>
      </c>
      <c r="AG204" s="12">
        <f>+F204++H204++J204++L204++N204++P204++R204++T204++V204++X204++Z204++AB204++AD204+0</f>
        <v>0</v>
      </c>
      <c r="AH204" s="11">
        <f>G204+I204+K204+M204+O204+Q204+S204+U204+W204+Y204+AA204+AC204+AE204+0</f>
        <v>0</v>
      </c>
      <c r="AI204" s="6"/>
    </row>
    <row r="205" spans="1:35" x14ac:dyDescent="0.2">
      <c r="A205" s="4"/>
      <c r="B205" s="17">
        <v>197</v>
      </c>
      <c r="C205" s="41" t="s">
        <v>418</v>
      </c>
      <c r="D205" s="53"/>
      <c r="E205" s="15" t="s">
        <v>419</v>
      </c>
      <c r="F205" s="30"/>
      <c r="G205" s="31"/>
      <c r="H205" s="30"/>
      <c r="I205" s="58"/>
      <c r="J205" s="30"/>
      <c r="K205" s="58"/>
      <c r="L205" s="30"/>
      <c r="M205" s="58"/>
      <c r="N205" s="30"/>
      <c r="O205" s="58"/>
      <c r="P205" s="30"/>
      <c r="Q205" s="58"/>
      <c r="R205" s="30"/>
      <c r="S205" s="58"/>
      <c r="T205" s="30"/>
      <c r="U205" s="58"/>
      <c r="V205" s="30"/>
      <c r="W205" s="58"/>
      <c r="X205" s="30"/>
      <c r="Y205" s="58"/>
      <c r="Z205" s="30"/>
      <c r="AA205" s="58"/>
      <c r="AB205" s="30"/>
      <c r="AC205" s="58"/>
      <c r="AD205" s="30"/>
      <c r="AE205" s="58"/>
      <c r="AF205" s="55">
        <v>25000</v>
      </c>
      <c r="AG205" s="12">
        <f>+F205++H205++J205++L205++N205++P205++R205++T205++V205++X205++Z205++AB205++AD205+0</f>
        <v>0</v>
      </c>
      <c r="AH205" s="11">
        <f>G205+I205+K205+M205+O205+Q205+S205+U205+W205+Y205+AA205+AC205+AE205+0</f>
        <v>0</v>
      </c>
      <c r="AI205" s="6"/>
    </row>
    <row r="206" spans="1:35" x14ac:dyDescent="0.2">
      <c r="A206" s="4"/>
      <c r="B206" s="17">
        <v>198</v>
      </c>
      <c r="C206" s="41" t="s">
        <v>420</v>
      </c>
      <c r="D206" s="53"/>
      <c r="E206" s="15" t="s">
        <v>421</v>
      </c>
      <c r="F206" s="30"/>
      <c r="G206" s="31"/>
      <c r="H206" s="30"/>
      <c r="I206" s="58"/>
      <c r="J206" s="30"/>
      <c r="K206" s="58"/>
      <c r="L206" s="30"/>
      <c r="M206" s="58"/>
      <c r="N206" s="30"/>
      <c r="O206" s="58"/>
      <c r="P206" s="30"/>
      <c r="Q206" s="58"/>
      <c r="R206" s="30"/>
      <c r="S206" s="58"/>
      <c r="T206" s="30"/>
      <c r="U206" s="58"/>
      <c r="V206" s="30"/>
      <c r="W206" s="58"/>
      <c r="X206" s="30"/>
      <c r="Y206" s="58"/>
      <c r="Z206" s="30"/>
      <c r="AA206" s="58"/>
      <c r="AB206" s="30"/>
      <c r="AC206" s="58"/>
      <c r="AD206" s="30"/>
      <c r="AE206" s="58"/>
      <c r="AF206" s="55">
        <v>30000</v>
      </c>
      <c r="AG206" s="12">
        <f>+F206++H206++J206++L206++N206++P206++R206++T206++V206++X206++Z206++AB206++AD206+0</f>
        <v>0</v>
      </c>
      <c r="AH206" s="11">
        <f>G206+I206+K206+M206+O206+Q206+S206+U206+W206+Y206+AA206+AC206+AE206+0</f>
        <v>0</v>
      </c>
      <c r="AI206" s="6"/>
    </row>
    <row r="207" spans="1:35" x14ac:dyDescent="0.2">
      <c r="A207" s="4"/>
      <c r="B207" s="17">
        <v>199</v>
      </c>
      <c r="C207" s="41" t="s">
        <v>422</v>
      </c>
      <c r="D207" s="53"/>
      <c r="E207" s="15" t="s">
        <v>423</v>
      </c>
      <c r="F207" s="30"/>
      <c r="G207" s="31"/>
      <c r="H207" s="30"/>
      <c r="I207" s="58"/>
      <c r="J207" s="30"/>
      <c r="K207" s="58"/>
      <c r="L207" s="30"/>
      <c r="M207" s="58"/>
      <c r="N207" s="30"/>
      <c r="O207" s="58"/>
      <c r="P207" s="30"/>
      <c r="Q207" s="58"/>
      <c r="R207" s="30"/>
      <c r="S207" s="58"/>
      <c r="T207" s="30"/>
      <c r="U207" s="58"/>
      <c r="V207" s="30"/>
      <c r="W207" s="58"/>
      <c r="X207" s="30"/>
      <c r="Y207" s="58"/>
      <c r="Z207" s="30"/>
      <c r="AA207" s="58"/>
      <c r="AB207" s="30"/>
      <c r="AC207" s="58"/>
      <c r="AD207" s="30"/>
      <c r="AE207" s="58"/>
      <c r="AF207" s="55">
        <v>130000</v>
      </c>
      <c r="AG207" s="12">
        <f>+F207++H207++J207++L207++N207++P207++R207++T207++V207++X207++Z207++AB207++AD207+0</f>
        <v>0</v>
      </c>
      <c r="AH207" s="11">
        <f>G207+I207+K207+M207+O207+Q207+S207+U207+W207+Y207+AA207+AC207+AE207+0</f>
        <v>0</v>
      </c>
      <c r="AI207" s="6"/>
    </row>
    <row r="208" spans="1:35" x14ac:dyDescent="0.2">
      <c r="A208" s="4"/>
      <c r="B208" s="17">
        <v>200</v>
      </c>
      <c r="C208" s="41" t="s">
        <v>424</v>
      </c>
      <c r="D208" s="53"/>
      <c r="E208" s="15" t="s">
        <v>425</v>
      </c>
      <c r="F208" s="30"/>
      <c r="G208" s="31"/>
      <c r="H208" s="30"/>
      <c r="I208" s="58"/>
      <c r="J208" s="30"/>
      <c r="K208" s="58"/>
      <c r="L208" s="30"/>
      <c r="M208" s="58"/>
      <c r="N208" s="30"/>
      <c r="O208" s="58"/>
      <c r="P208" s="30"/>
      <c r="Q208" s="58"/>
      <c r="R208" s="30"/>
      <c r="S208" s="58"/>
      <c r="T208" s="30"/>
      <c r="U208" s="58"/>
      <c r="V208" s="30"/>
      <c r="W208" s="58"/>
      <c r="X208" s="30"/>
      <c r="Y208" s="58"/>
      <c r="Z208" s="30"/>
      <c r="AA208" s="58"/>
      <c r="AB208" s="30"/>
      <c r="AC208" s="58"/>
      <c r="AD208" s="30"/>
      <c r="AE208" s="58"/>
      <c r="AF208" s="55">
        <v>10000</v>
      </c>
      <c r="AG208" s="12">
        <f>+F208++H208++J208++L208++N208++P208++R208++T208++V208++X208++Z208++AB208++AD208+0</f>
        <v>0</v>
      </c>
      <c r="AH208" s="11">
        <f>G208+I208+K208+M208+O208+Q208+S208+U208+W208+Y208+AA208+AC208+AE208+0</f>
        <v>0</v>
      </c>
      <c r="AI208" s="6"/>
    </row>
    <row r="209" spans="1:35" x14ac:dyDescent="0.2">
      <c r="A209" s="4"/>
      <c r="B209" s="17">
        <v>201</v>
      </c>
      <c r="C209" s="41" t="s">
        <v>426</v>
      </c>
      <c r="D209" s="53"/>
      <c r="E209" s="15" t="s">
        <v>427</v>
      </c>
      <c r="F209" s="30"/>
      <c r="G209" s="31"/>
      <c r="H209" s="30"/>
      <c r="I209" s="58"/>
      <c r="J209" s="30"/>
      <c r="K209" s="58"/>
      <c r="L209" s="30"/>
      <c r="M209" s="58"/>
      <c r="N209" s="30"/>
      <c r="O209" s="58"/>
      <c r="P209" s="30"/>
      <c r="Q209" s="58"/>
      <c r="R209" s="30"/>
      <c r="S209" s="58"/>
      <c r="T209" s="30"/>
      <c r="U209" s="58"/>
      <c r="V209" s="30"/>
      <c r="W209" s="58"/>
      <c r="X209" s="30"/>
      <c r="Y209" s="58"/>
      <c r="Z209" s="30"/>
      <c r="AA209" s="58"/>
      <c r="AB209" s="30"/>
      <c r="AC209" s="58"/>
      <c r="AD209" s="30"/>
      <c r="AE209" s="58"/>
      <c r="AF209" s="55">
        <v>55000</v>
      </c>
      <c r="AG209" s="12">
        <f>+F209++H209++J209++L209++N209++P209++R209++T209++V209++X209++Z209++AB209++AD209+0</f>
        <v>0</v>
      </c>
      <c r="AH209" s="11">
        <f>G209+I209+K209+M209+O209+Q209+S209+U209+W209+Y209+AA209+AC209+AE209+0</f>
        <v>0</v>
      </c>
      <c r="AI209" s="6"/>
    </row>
    <row r="210" spans="1:35" x14ac:dyDescent="0.2">
      <c r="A210" s="4"/>
      <c r="B210" s="17">
        <v>202</v>
      </c>
      <c r="C210" s="41" t="s">
        <v>428</v>
      </c>
      <c r="D210" s="53"/>
      <c r="E210" s="15" t="s">
        <v>429</v>
      </c>
      <c r="F210" s="30"/>
      <c r="G210" s="31"/>
      <c r="H210" s="30"/>
      <c r="I210" s="58"/>
      <c r="J210" s="30"/>
      <c r="K210" s="58"/>
      <c r="L210" s="30"/>
      <c r="M210" s="58"/>
      <c r="N210" s="30"/>
      <c r="O210" s="58"/>
      <c r="P210" s="30"/>
      <c r="Q210" s="58"/>
      <c r="R210" s="30"/>
      <c r="S210" s="58"/>
      <c r="T210" s="30"/>
      <c r="U210" s="58"/>
      <c r="V210" s="30"/>
      <c r="W210" s="58"/>
      <c r="X210" s="30"/>
      <c r="Y210" s="58"/>
      <c r="Z210" s="30"/>
      <c r="AA210" s="58"/>
      <c r="AB210" s="30"/>
      <c r="AC210" s="58"/>
      <c r="AD210" s="30"/>
      <c r="AE210" s="58"/>
      <c r="AF210" s="55">
        <v>7000</v>
      </c>
      <c r="AG210" s="12">
        <f>+F210++H210++J210++L210++N210++P210++R210++T210++V210++X210++Z210++AB210++AD210+0</f>
        <v>0</v>
      </c>
      <c r="AH210" s="11">
        <f>G210+I210+K210+M210+O210+Q210+S210+U210+W210+Y210+AA210+AC210+AE210+0</f>
        <v>0</v>
      </c>
      <c r="AI210" s="6"/>
    </row>
    <row r="211" spans="1:35" x14ac:dyDescent="0.2">
      <c r="A211" s="4"/>
      <c r="B211" s="17">
        <v>203</v>
      </c>
      <c r="C211" s="41" t="s">
        <v>430</v>
      </c>
      <c r="D211" s="53"/>
      <c r="E211" s="15" t="s">
        <v>431</v>
      </c>
      <c r="F211" s="30"/>
      <c r="G211" s="31"/>
      <c r="H211" s="30"/>
      <c r="I211" s="58"/>
      <c r="J211" s="30"/>
      <c r="K211" s="58"/>
      <c r="L211" s="30"/>
      <c r="M211" s="58"/>
      <c r="N211" s="30"/>
      <c r="O211" s="58"/>
      <c r="P211" s="30"/>
      <c r="Q211" s="58"/>
      <c r="R211" s="30"/>
      <c r="S211" s="58"/>
      <c r="T211" s="30"/>
      <c r="U211" s="58"/>
      <c r="V211" s="30"/>
      <c r="W211" s="58"/>
      <c r="X211" s="30"/>
      <c r="Y211" s="58"/>
      <c r="Z211" s="30"/>
      <c r="AA211" s="58"/>
      <c r="AB211" s="30"/>
      <c r="AC211" s="58"/>
      <c r="AD211" s="30"/>
      <c r="AE211" s="58"/>
      <c r="AF211" s="55">
        <v>71000</v>
      </c>
      <c r="AG211" s="12">
        <f>+F211++H211++J211++L211++N211++P211++R211++T211++V211++X211++Z211++AB211++AD211+0</f>
        <v>0</v>
      </c>
      <c r="AH211" s="11">
        <f>G211+I211+K211+M211+O211+Q211+S211+U211+W211+Y211+AA211+AC211+AE211+0</f>
        <v>0</v>
      </c>
      <c r="AI211" s="6"/>
    </row>
    <row r="212" spans="1:35" x14ac:dyDescent="0.2">
      <c r="A212" s="4"/>
      <c r="B212" s="17">
        <v>204</v>
      </c>
      <c r="C212" s="41" t="s">
        <v>432</v>
      </c>
      <c r="D212" s="53"/>
      <c r="E212" s="15" t="s">
        <v>433</v>
      </c>
      <c r="F212" s="30"/>
      <c r="G212" s="31"/>
      <c r="H212" s="30"/>
      <c r="I212" s="58"/>
      <c r="J212" s="30"/>
      <c r="K212" s="58"/>
      <c r="L212" s="30"/>
      <c r="M212" s="58"/>
      <c r="N212" s="30"/>
      <c r="O212" s="58"/>
      <c r="P212" s="30"/>
      <c r="Q212" s="58"/>
      <c r="R212" s="30"/>
      <c r="S212" s="58"/>
      <c r="T212" s="30"/>
      <c r="U212" s="58"/>
      <c r="V212" s="30"/>
      <c r="W212" s="58"/>
      <c r="X212" s="30"/>
      <c r="Y212" s="58"/>
      <c r="Z212" s="30"/>
      <c r="AA212" s="58"/>
      <c r="AB212" s="30"/>
      <c r="AC212" s="58"/>
      <c r="AD212" s="30"/>
      <c r="AE212" s="58"/>
      <c r="AF212" s="55">
        <v>20000</v>
      </c>
      <c r="AG212" s="12">
        <f>+F212++H212++J212++L212++N212++P212++R212++T212++V212++X212++Z212++AB212++AD212+0</f>
        <v>0</v>
      </c>
      <c r="AH212" s="11">
        <f>G212+I212+K212+M212+O212+Q212+S212+U212+W212+Y212+AA212+AC212+AE212+0</f>
        <v>0</v>
      </c>
      <c r="AI212" s="6"/>
    </row>
    <row r="213" spans="1:35" x14ac:dyDescent="0.2">
      <c r="A213" s="4"/>
      <c r="B213" s="17">
        <v>205</v>
      </c>
      <c r="C213" s="41" t="s">
        <v>434</v>
      </c>
      <c r="D213" s="53"/>
      <c r="E213" s="15" t="s">
        <v>435</v>
      </c>
      <c r="F213" s="30"/>
      <c r="G213" s="31"/>
      <c r="H213" s="30"/>
      <c r="I213" s="58"/>
      <c r="J213" s="30"/>
      <c r="K213" s="58"/>
      <c r="L213" s="30"/>
      <c r="M213" s="58"/>
      <c r="N213" s="30"/>
      <c r="O213" s="58"/>
      <c r="P213" s="30"/>
      <c r="Q213" s="58"/>
      <c r="R213" s="30"/>
      <c r="S213" s="58"/>
      <c r="T213" s="30"/>
      <c r="U213" s="58"/>
      <c r="V213" s="30"/>
      <c r="W213" s="58"/>
      <c r="X213" s="30"/>
      <c r="Y213" s="58"/>
      <c r="Z213" s="30"/>
      <c r="AA213" s="58"/>
      <c r="AB213" s="30"/>
      <c r="AC213" s="58"/>
      <c r="AD213" s="30"/>
      <c r="AE213" s="58"/>
      <c r="AF213" s="55">
        <v>57600</v>
      </c>
      <c r="AG213" s="12">
        <f>+F213++H213++J213++L213++N213++P213++R213++T213++V213++X213++Z213++AB213++AD213+0</f>
        <v>0</v>
      </c>
      <c r="AH213" s="11">
        <f>G213+I213+K213+M213+O213+Q213+S213+U213+W213+Y213+AA213+AC213+AE213+0</f>
        <v>0</v>
      </c>
      <c r="AI213" s="6"/>
    </row>
    <row r="214" spans="1:35" x14ac:dyDescent="0.2">
      <c r="A214" s="4"/>
      <c r="B214" s="17">
        <v>206</v>
      </c>
      <c r="C214" s="41" t="s">
        <v>436</v>
      </c>
      <c r="D214" s="53"/>
      <c r="E214" s="15" t="s">
        <v>437</v>
      </c>
      <c r="F214" s="30"/>
      <c r="G214" s="31"/>
      <c r="H214" s="30"/>
      <c r="I214" s="58"/>
      <c r="J214" s="30"/>
      <c r="K214" s="58"/>
      <c r="L214" s="30"/>
      <c r="M214" s="58"/>
      <c r="N214" s="30"/>
      <c r="O214" s="58"/>
      <c r="P214" s="30"/>
      <c r="Q214" s="58"/>
      <c r="R214" s="30"/>
      <c r="S214" s="58"/>
      <c r="T214" s="30"/>
      <c r="U214" s="58"/>
      <c r="V214" s="30"/>
      <c r="W214" s="58"/>
      <c r="X214" s="30"/>
      <c r="Y214" s="58"/>
      <c r="Z214" s="30"/>
      <c r="AA214" s="58"/>
      <c r="AB214" s="30"/>
      <c r="AC214" s="58"/>
      <c r="AD214" s="30"/>
      <c r="AE214" s="58"/>
      <c r="AF214" s="55">
        <v>40000</v>
      </c>
      <c r="AG214" s="12">
        <f>+F214++H214++J214++L214++N214++P214++R214++T214++V214++X214++Z214++AB214++AD214+0</f>
        <v>0</v>
      </c>
      <c r="AH214" s="11">
        <f>G214+I214+K214+M214+O214+Q214+S214+U214+W214+Y214+AA214+AC214+AE214+0</f>
        <v>0</v>
      </c>
      <c r="AI214" s="6"/>
    </row>
    <row r="215" spans="1:35" x14ac:dyDescent="0.2">
      <c r="A215" s="4"/>
      <c r="B215" s="17">
        <v>207</v>
      </c>
      <c r="C215" s="41" t="s">
        <v>438</v>
      </c>
      <c r="D215" s="53"/>
      <c r="E215" s="15" t="s">
        <v>439</v>
      </c>
      <c r="F215" s="30"/>
      <c r="G215" s="31"/>
      <c r="H215" s="30"/>
      <c r="I215" s="58"/>
      <c r="J215" s="30"/>
      <c r="K215" s="58"/>
      <c r="L215" s="30"/>
      <c r="M215" s="58"/>
      <c r="N215" s="30"/>
      <c r="O215" s="58"/>
      <c r="P215" s="30"/>
      <c r="Q215" s="58"/>
      <c r="R215" s="30"/>
      <c r="S215" s="58"/>
      <c r="T215" s="30"/>
      <c r="U215" s="58"/>
      <c r="V215" s="30"/>
      <c r="W215" s="58"/>
      <c r="X215" s="30"/>
      <c r="Y215" s="58"/>
      <c r="Z215" s="30"/>
      <c r="AA215" s="58"/>
      <c r="AB215" s="30"/>
      <c r="AC215" s="58"/>
      <c r="AD215" s="30"/>
      <c r="AE215" s="58"/>
      <c r="AF215" s="55">
        <v>730000</v>
      </c>
      <c r="AG215" s="12">
        <f>+F215++H215++J215++L215++N215++P215++R215++T215++V215++X215++Z215++AB215++AD215+0</f>
        <v>0</v>
      </c>
      <c r="AH215" s="11">
        <f>G215+I215+K215+M215+O215+Q215+S215+U215+W215+Y215+AA215+AC215+AE215+0</f>
        <v>0</v>
      </c>
      <c r="AI215" s="6"/>
    </row>
    <row r="216" spans="1:35" x14ac:dyDescent="0.2">
      <c r="A216" s="4"/>
      <c r="B216" s="17">
        <v>208</v>
      </c>
      <c r="C216" s="41" t="s">
        <v>440</v>
      </c>
      <c r="D216" s="53"/>
      <c r="E216" s="15" t="s">
        <v>441</v>
      </c>
      <c r="F216" s="30"/>
      <c r="G216" s="31"/>
      <c r="H216" s="30"/>
      <c r="I216" s="58"/>
      <c r="J216" s="30"/>
      <c r="K216" s="58"/>
      <c r="L216" s="30"/>
      <c r="M216" s="58"/>
      <c r="N216" s="30"/>
      <c r="O216" s="58"/>
      <c r="P216" s="30"/>
      <c r="Q216" s="58"/>
      <c r="R216" s="30"/>
      <c r="S216" s="58"/>
      <c r="T216" s="30"/>
      <c r="U216" s="58"/>
      <c r="V216" s="30"/>
      <c r="W216" s="58"/>
      <c r="X216" s="30"/>
      <c r="Y216" s="58"/>
      <c r="Z216" s="30"/>
      <c r="AA216" s="58"/>
      <c r="AB216" s="30"/>
      <c r="AC216" s="58"/>
      <c r="AD216" s="30"/>
      <c r="AE216" s="58"/>
      <c r="AF216" s="55">
        <v>750000</v>
      </c>
      <c r="AG216" s="12">
        <f>+F216++H216++J216++L216++N216++P216++R216++T216++V216++X216++Z216++AB216++AD216+0</f>
        <v>0</v>
      </c>
      <c r="AH216" s="11">
        <f>G216+I216+K216+M216+O216+Q216+S216+U216+W216+Y216+AA216+AC216+AE216+0</f>
        <v>0</v>
      </c>
      <c r="AI216" s="6"/>
    </row>
    <row r="217" spans="1:35" x14ac:dyDescent="0.2">
      <c r="A217" s="4"/>
      <c r="B217" s="17">
        <v>209</v>
      </c>
      <c r="C217" s="41" t="s">
        <v>442</v>
      </c>
      <c r="D217" s="53"/>
      <c r="E217" s="15" t="s">
        <v>443</v>
      </c>
      <c r="F217" s="30"/>
      <c r="G217" s="31"/>
      <c r="H217" s="30"/>
      <c r="I217" s="58"/>
      <c r="J217" s="30"/>
      <c r="K217" s="58"/>
      <c r="L217" s="30"/>
      <c r="M217" s="58"/>
      <c r="N217" s="30"/>
      <c r="O217" s="58"/>
      <c r="P217" s="30"/>
      <c r="Q217" s="58"/>
      <c r="R217" s="30"/>
      <c r="S217" s="58"/>
      <c r="T217" s="30"/>
      <c r="U217" s="58"/>
      <c r="V217" s="30"/>
      <c r="W217" s="58"/>
      <c r="X217" s="30"/>
      <c r="Y217" s="58"/>
      <c r="Z217" s="30"/>
      <c r="AA217" s="58"/>
      <c r="AB217" s="30"/>
      <c r="AC217" s="58"/>
      <c r="AD217" s="30"/>
      <c r="AE217" s="58"/>
      <c r="AF217" s="55">
        <v>20000</v>
      </c>
      <c r="AG217" s="12">
        <f>+F217++H217++J217++L217++N217++P217++R217++T217++V217++X217++Z217++AB217++AD217+0</f>
        <v>0</v>
      </c>
      <c r="AH217" s="11">
        <f>G217+I217+K217+M217+O217+Q217+S217+U217+W217+Y217+AA217+AC217+AE217+0</f>
        <v>0</v>
      </c>
      <c r="AI217" s="6"/>
    </row>
    <row r="218" spans="1:35" x14ac:dyDescent="0.2">
      <c r="A218" s="4"/>
      <c r="B218" s="17">
        <v>210</v>
      </c>
      <c r="C218" s="41" t="s">
        <v>444</v>
      </c>
      <c r="D218" s="53"/>
      <c r="E218" s="15" t="s">
        <v>445</v>
      </c>
      <c r="F218" s="30"/>
      <c r="G218" s="31"/>
      <c r="H218" s="30"/>
      <c r="I218" s="58"/>
      <c r="J218" s="30"/>
      <c r="K218" s="58"/>
      <c r="L218" s="30"/>
      <c r="M218" s="58"/>
      <c r="N218" s="30"/>
      <c r="O218" s="58"/>
      <c r="P218" s="30"/>
      <c r="Q218" s="58"/>
      <c r="R218" s="30"/>
      <c r="S218" s="58"/>
      <c r="T218" s="30"/>
      <c r="U218" s="58"/>
      <c r="V218" s="30"/>
      <c r="W218" s="58"/>
      <c r="X218" s="30"/>
      <c r="Y218" s="58"/>
      <c r="Z218" s="30"/>
      <c r="AA218" s="58"/>
      <c r="AB218" s="30"/>
      <c r="AC218" s="58"/>
      <c r="AD218" s="30"/>
      <c r="AE218" s="58"/>
      <c r="AF218" s="55">
        <v>200000</v>
      </c>
      <c r="AG218" s="12">
        <f>+F218++H218++J218++L218++N218++P218++R218++T218++V218++X218++Z218++AB218++AD218+0</f>
        <v>0</v>
      </c>
      <c r="AH218" s="11">
        <f>G218+I218+K218+M218+O218+Q218+S218+U218+W218+Y218+AA218+AC218+AE218+0</f>
        <v>0</v>
      </c>
      <c r="AI218" s="6"/>
    </row>
    <row r="219" spans="1:35" x14ac:dyDescent="0.2">
      <c r="A219" s="4"/>
      <c r="B219" s="17">
        <v>211</v>
      </c>
      <c r="C219" s="41" t="s">
        <v>446</v>
      </c>
      <c r="D219" s="53"/>
      <c r="E219" s="15" t="s">
        <v>447</v>
      </c>
      <c r="F219" s="30"/>
      <c r="G219" s="31"/>
      <c r="H219" s="30"/>
      <c r="I219" s="58"/>
      <c r="J219" s="30"/>
      <c r="K219" s="58"/>
      <c r="L219" s="30"/>
      <c r="M219" s="58"/>
      <c r="N219" s="30"/>
      <c r="O219" s="58"/>
      <c r="P219" s="30"/>
      <c r="Q219" s="58"/>
      <c r="R219" s="30"/>
      <c r="S219" s="58"/>
      <c r="T219" s="30"/>
      <c r="U219" s="58"/>
      <c r="V219" s="30"/>
      <c r="W219" s="58"/>
      <c r="X219" s="30"/>
      <c r="Y219" s="58"/>
      <c r="Z219" s="30"/>
      <c r="AA219" s="58"/>
      <c r="AB219" s="30"/>
      <c r="AC219" s="58"/>
      <c r="AD219" s="30"/>
      <c r="AE219" s="58"/>
      <c r="AF219" s="55">
        <v>20000</v>
      </c>
      <c r="AG219" s="12">
        <f>+F219++H219++J219++L219++N219++P219++R219++T219++V219++X219++Z219++AB219++AD219+0</f>
        <v>0</v>
      </c>
      <c r="AH219" s="11">
        <f>G219+I219+K219+M219+O219+Q219+S219+U219+W219+Y219+AA219+AC219+AE219+0</f>
        <v>0</v>
      </c>
      <c r="AI219" s="6"/>
    </row>
    <row r="220" spans="1:35" x14ac:dyDescent="0.2">
      <c r="A220" s="4"/>
      <c r="B220" s="17">
        <v>212</v>
      </c>
      <c r="C220" s="41" t="s">
        <v>448</v>
      </c>
      <c r="D220" s="53"/>
      <c r="E220" s="15" t="s">
        <v>449</v>
      </c>
      <c r="F220" s="30"/>
      <c r="G220" s="31"/>
      <c r="H220" s="30"/>
      <c r="I220" s="58"/>
      <c r="J220" s="30"/>
      <c r="K220" s="58"/>
      <c r="L220" s="30"/>
      <c r="M220" s="58"/>
      <c r="N220" s="30"/>
      <c r="O220" s="58"/>
      <c r="P220" s="30"/>
      <c r="Q220" s="58"/>
      <c r="R220" s="30"/>
      <c r="S220" s="58"/>
      <c r="T220" s="30"/>
      <c r="U220" s="58"/>
      <c r="V220" s="30"/>
      <c r="W220" s="58"/>
      <c r="X220" s="30"/>
      <c r="Y220" s="58"/>
      <c r="Z220" s="30"/>
      <c r="AA220" s="58"/>
      <c r="AB220" s="30"/>
      <c r="AC220" s="58"/>
      <c r="AD220" s="30"/>
      <c r="AE220" s="58"/>
      <c r="AF220" s="55">
        <v>20000</v>
      </c>
      <c r="AG220" s="12">
        <f>+F220++H220++J220++L220++N220++P220++R220++T220++V220++X220++Z220++AB220++AD220+0</f>
        <v>0</v>
      </c>
      <c r="AH220" s="11">
        <f>G220+I220+K220+M220+O220+Q220+S220+U220+W220+Y220+AA220+AC220+AE220+0</f>
        <v>0</v>
      </c>
      <c r="AI220" s="6"/>
    </row>
    <row r="221" spans="1:35" x14ac:dyDescent="0.2">
      <c r="A221" s="4"/>
      <c r="B221" s="17">
        <v>213</v>
      </c>
      <c r="C221" s="41" t="s">
        <v>450</v>
      </c>
      <c r="D221" s="53"/>
      <c r="E221" s="15" t="s">
        <v>451</v>
      </c>
      <c r="F221" s="30"/>
      <c r="G221" s="31"/>
      <c r="H221" s="30"/>
      <c r="I221" s="58"/>
      <c r="J221" s="30"/>
      <c r="K221" s="58"/>
      <c r="L221" s="30"/>
      <c r="M221" s="58"/>
      <c r="N221" s="30"/>
      <c r="O221" s="58"/>
      <c r="P221" s="30"/>
      <c r="Q221" s="58"/>
      <c r="R221" s="30"/>
      <c r="S221" s="58"/>
      <c r="T221" s="30"/>
      <c r="U221" s="58"/>
      <c r="V221" s="30"/>
      <c r="W221" s="58"/>
      <c r="X221" s="30"/>
      <c r="Y221" s="58"/>
      <c r="Z221" s="30"/>
      <c r="AA221" s="58"/>
      <c r="AB221" s="30"/>
      <c r="AC221" s="58"/>
      <c r="AD221" s="30"/>
      <c r="AE221" s="58"/>
      <c r="AF221" s="55">
        <v>30000</v>
      </c>
      <c r="AG221" s="12">
        <f>+F221++H221++J221++L221++N221++P221++R221++T221++V221++X221++Z221++AB221++AD221+0</f>
        <v>0</v>
      </c>
      <c r="AH221" s="11">
        <f>G221+I221+K221+M221+O221+Q221+S221+U221+W221+Y221+AA221+AC221+AE221+0</f>
        <v>0</v>
      </c>
      <c r="AI221" s="6"/>
    </row>
    <row r="222" spans="1:35" x14ac:dyDescent="0.2">
      <c r="A222" s="4"/>
      <c r="B222" s="17">
        <v>214</v>
      </c>
      <c r="C222" s="41" t="s">
        <v>452</v>
      </c>
      <c r="D222" s="53"/>
      <c r="E222" s="15" t="s">
        <v>453</v>
      </c>
      <c r="F222" s="30"/>
      <c r="G222" s="31"/>
      <c r="H222" s="30"/>
      <c r="I222" s="58"/>
      <c r="J222" s="30"/>
      <c r="K222" s="58"/>
      <c r="L222" s="30"/>
      <c r="M222" s="58"/>
      <c r="N222" s="30"/>
      <c r="O222" s="58"/>
      <c r="P222" s="30"/>
      <c r="Q222" s="58"/>
      <c r="R222" s="30"/>
      <c r="S222" s="58"/>
      <c r="T222" s="30"/>
      <c r="U222" s="58"/>
      <c r="V222" s="30"/>
      <c r="W222" s="58"/>
      <c r="X222" s="30"/>
      <c r="Y222" s="58"/>
      <c r="Z222" s="30"/>
      <c r="AA222" s="58"/>
      <c r="AB222" s="30"/>
      <c r="AC222" s="58"/>
      <c r="AD222" s="30"/>
      <c r="AE222" s="58"/>
      <c r="AF222" s="55">
        <v>120000</v>
      </c>
      <c r="AG222" s="12">
        <f>+F222++H222++J222++L222++N222++P222++R222++T222++V222++X222++Z222++AB222++AD222+0</f>
        <v>0</v>
      </c>
      <c r="AH222" s="11">
        <f>G222+I222+K222+M222+O222+Q222+S222+U222+W222+Y222+AA222+AC222+AE222+0</f>
        <v>0</v>
      </c>
      <c r="AI222" s="6"/>
    </row>
    <row r="223" spans="1:35" x14ac:dyDescent="0.2">
      <c r="A223" s="4"/>
      <c r="B223" s="17">
        <v>215</v>
      </c>
      <c r="C223" s="41" t="s">
        <v>454</v>
      </c>
      <c r="D223" s="53"/>
      <c r="E223" s="15" t="s">
        <v>455</v>
      </c>
      <c r="F223" s="30"/>
      <c r="G223" s="31"/>
      <c r="H223" s="30"/>
      <c r="I223" s="58"/>
      <c r="J223" s="30"/>
      <c r="K223" s="58"/>
      <c r="L223" s="30"/>
      <c r="M223" s="58"/>
      <c r="N223" s="30"/>
      <c r="O223" s="58"/>
      <c r="P223" s="30"/>
      <c r="Q223" s="58"/>
      <c r="R223" s="30"/>
      <c r="S223" s="58"/>
      <c r="T223" s="30"/>
      <c r="U223" s="58"/>
      <c r="V223" s="30"/>
      <c r="W223" s="58"/>
      <c r="X223" s="30"/>
      <c r="Y223" s="58"/>
      <c r="Z223" s="30"/>
      <c r="AA223" s="58"/>
      <c r="AB223" s="30"/>
      <c r="AC223" s="58"/>
      <c r="AD223" s="30"/>
      <c r="AE223" s="58"/>
      <c r="AF223" s="55">
        <v>20000</v>
      </c>
      <c r="AG223" s="12">
        <f>+F223++H223++J223++L223++N223++P223++R223++T223++V223++X223++Z223++AB223++AD223+0</f>
        <v>0</v>
      </c>
      <c r="AH223" s="11">
        <f>G223+I223+K223+M223+O223+Q223+S223+U223+W223+Y223+AA223+AC223+AE223+0</f>
        <v>0</v>
      </c>
      <c r="AI223" s="6"/>
    </row>
    <row r="224" spans="1:35" x14ac:dyDescent="0.2">
      <c r="A224" s="4"/>
      <c r="B224" s="17">
        <v>216</v>
      </c>
      <c r="C224" s="41" t="s">
        <v>456</v>
      </c>
      <c r="D224" s="53"/>
      <c r="E224" s="15" t="s">
        <v>457</v>
      </c>
      <c r="F224" s="30"/>
      <c r="G224" s="31"/>
      <c r="H224" s="30"/>
      <c r="I224" s="58"/>
      <c r="J224" s="30"/>
      <c r="K224" s="58"/>
      <c r="L224" s="30"/>
      <c r="M224" s="58"/>
      <c r="N224" s="30"/>
      <c r="O224" s="58"/>
      <c r="P224" s="30"/>
      <c r="Q224" s="58"/>
      <c r="R224" s="30"/>
      <c r="S224" s="58"/>
      <c r="T224" s="30"/>
      <c r="U224" s="58"/>
      <c r="V224" s="30"/>
      <c r="W224" s="58"/>
      <c r="X224" s="30"/>
      <c r="Y224" s="58"/>
      <c r="Z224" s="30"/>
      <c r="AA224" s="58"/>
      <c r="AB224" s="30"/>
      <c r="AC224" s="58"/>
      <c r="AD224" s="30"/>
      <c r="AE224" s="58"/>
      <c r="AF224" s="55">
        <v>80000</v>
      </c>
      <c r="AG224" s="12">
        <f>+F224++H224++J224++L224++N224++P224++R224++T224++V224++X224++Z224++AB224++AD224+0</f>
        <v>0</v>
      </c>
      <c r="AH224" s="11">
        <f>G224+I224+K224+M224+O224+Q224+S224+U224+W224+Y224+AA224+AC224+AE224+0</f>
        <v>0</v>
      </c>
      <c r="AI224" s="6"/>
    </row>
    <row r="225" spans="1:35" x14ac:dyDescent="0.2">
      <c r="A225" s="4"/>
      <c r="B225" s="17">
        <v>217</v>
      </c>
      <c r="C225" s="41" t="s">
        <v>458</v>
      </c>
      <c r="D225" s="53"/>
      <c r="E225" s="15" t="s">
        <v>459</v>
      </c>
      <c r="F225" s="30"/>
      <c r="G225" s="31"/>
      <c r="H225" s="30"/>
      <c r="I225" s="58"/>
      <c r="J225" s="30"/>
      <c r="K225" s="58"/>
      <c r="L225" s="30"/>
      <c r="M225" s="58"/>
      <c r="N225" s="30"/>
      <c r="O225" s="58"/>
      <c r="P225" s="30"/>
      <c r="Q225" s="58"/>
      <c r="R225" s="30"/>
      <c r="S225" s="58"/>
      <c r="T225" s="30"/>
      <c r="U225" s="58"/>
      <c r="V225" s="30"/>
      <c r="W225" s="58"/>
      <c r="X225" s="30"/>
      <c r="Y225" s="58"/>
      <c r="Z225" s="30"/>
      <c r="AA225" s="58"/>
      <c r="AB225" s="30"/>
      <c r="AC225" s="58"/>
      <c r="AD225" s="30"/>
      <c r="AE225" s="58"/>
      <c r="AF225" s="55">
        <v>21000</v>
      </c>
      <c r="AG225" s="12">
        <f>+F225++H225++J225++L225++N225++P225++R225++T225++V225++X225++Z225++AB225++AD225+0</f>
        <v>0</v>
      </c>
      <c r="AH225" s="11">
        <f>G225+I225+K225+M225+O225+Q225+S225+U225+W225+Y225+AA225+AC225+AE225+0</f>
        <v>0</v>
      </c>
      <c r="AI225" s="6"/>
    </row>
    <row r="226" spans="1:35" x14ac:dyDescent="0.2">
      <c r="A226" s="4"/>
      <c r="B226" s="17">
        <v>218</v>
      </c>
      <c r="C226" s="41" t="s">
        <v>460</v>
      </c>
      <c r="D226" s="53"/>
      <c r="E226" s="15" t="s">
        <v>461</v>
      </c>
      <c r="F226" s="30"/>
      <c r="G226" s="31"/>
      <c r="H226" s="30"/>
      <c r="I226" s="58"/>
      <c r="J226" s="30"/>
      <c r="K226" s="58"/>
      <c r="L226" s="30"/>
      <c r="M226" s="58"/>
      <c r="N226" s="30"/>
      <c r="O226" s="58"/>
      <c r="P226" s="30"/>
      <c r="Q226" s="58"/>
      <c r="R226" s="30"/>
      <c r="S226" s="58"/>
      <c r="T226" s="30"/>
      <c r="U226" s="58"/>
      <c r="V226" s="30"/>
      <c r="W226" s="58"/>
      <c r="X226" s="30"/>
      <c r="Y226" s="58"/>
      <c r="Z226" s="30"/>
      <c r="AA226" s="58"/>
      <c r="AB226" s="30"/>
      <c r="AC226" s="58"/>
      <c r="AD226" s="30"/>
      <c r="AE226" s="58"/>
      <c r="AF226" s="55">
        <v>30000</v>
      </c>
      <c r="AG226" s="12">
        <f>+F226++H226++J226++L226++N226++P226++R226++T226++V226++X226++Z226++AB226++AD226+0</f>
        <v>0</v>
      </c>
      <c r="AH226" s="11">
        <f>G226+I226+K226+M226+O226+Q226+S226+U226+W226+Y226+AA226+AC226+AE226+0</f>
        <v>0</v>
      </c>
      <c r="AI226" s="6"/>
    </row>
    <row r="227" spans="1:35" x14ac:dyDescent="0.2">
      <c r="A227" s="4"/>
      <c r="B227" s="17">
        <v>219</v>
      </c>
      <c r="C227" s="41" t="s">
        <v>462</v>
      </c>
      <c r="D227" s="53"/>
      <c r="E227" s="15" t="s">
        <v>463</v>
      </c>
      <c r="F227" s="30"/>
      <c r="G227" s="31"/>
      <c r="H227" s="30"/>
      <c r="I227" s="58"/>
      <c r="J227" s="30"/>
      <c r="K227" s="58"/>
      <c r="L227" s="30"/>
      <c r="M227" s="58"/>
      <c r="N227" s="30"/>
      <c r="O227" s="58"/>
      <c r="P227" s="30"/>
      <c r="Q227" s="58"/>
      <c r="R227" s="30"/>
      <c r="S227" s="58"/>
      <c r="T227" s="30"/>
      <c r="U227" s="58"/>
      <c r="V227" s="30"/>
      <c r="W227" s="58"/>
      <c r="X227" s="30"/>
      <c r="Y227" s="58"/>
      <c r="Z227" s="30"/>
      <c r="AA227" s="58"/>
      <c r="AB227" s="30"/>
      <c r="AC227" s="58"/>
      <c r="AD227" s="30"/>
      <c r="AE227" s="58"/>
      <c r="AF227" s="55">
        <v>1000000</v>
      </c>
      <c r="AG227" s="12">
        <f>+F227++H227++J227++L227++N227++P227++R227++T227++V227++X227++Z227++AB227++AD227+0</f>
        <v>0</v>
      </c>
      <c r="AH227" s="11">
        <f>G227+I227+K227+M227+O227+Q227+S227+U227+W227+Y227+AA227+AC227+AE227+0</f>
        <v>0</v>
      </c>
      <c r="AI227" s="6"/>
    </row>
    <row r="228" spans="1:35" x14ac:dyDescent="0.2">
      <c r="A228" s="4"/>
      <c r="B228" s="17">
        <v>220</v>
      </c>
      <c r="C228" s="41" t="s">
        <v>464</v>
      </c>
      <c r="D228" s="53"/>
      <c r="E228" s="15" t="s">
        <v>465</v>
      </c>
      <c r="F228" s="30"/>
      <c r="G228" s="31"/>
      <c r="H228" s="30"/>
      <c r="I228" s="58"/>
      <c r="J228" s="30"/>
      <c r="K228" s="58"/>
      <c r="L228" s="30"/>
      <c r="M228" s="58"/>
      <c r="N228" s="30"/>
      <c r="O228" s="58"/>
      <c r="P228" s="30"/>
      <c r="Q228" s="58"/>
      <c r="R228" s="30"/>
      <c r="S228" s="58"/>
      <c r="T228" s="30"/>
      <c r="U228" s="58"/>
      <c r="V228" s="30"/>
      <c r="W228" s="58"/>
      <c r="X228" s="30"/>
      <c r="Y228" s="58"/>
      <c r="Z228" s="30"/>
      <c r="AA228" s="58"/>
      <c r="AB228" s="30"/>
      <c r="AC228" s="58"/>
      <c r="AD228" s="30"/>
      <c r="AE228" s="58"/>
      <c r="AF228" s="55">
        <v>50000</v>
      </c>
      <c r="AG228" s="12">
        <f>+F228++H228++J228++L228++N228++P228++R228++T228++V228++X228++Z228++AB228++AD228+0</f>
        <v>0</v>
      </c>
      <c r="AH228" s="11">
        <f>G228+I228+K228+M228+O228+Q228+S228+U228+W228+Y228+AA228+AC228+AE228+0</f>
        <v>0</v>
      </c>
      <c r="AI228" s="6"/>
    </row>
    <row r="229" spans="1:35" x14ac:dyDescent="0.2">
      <c r="A229" s="4"/>
      <c r="B229" s="17">
        <v>221</v>
      </c>
      <c r="C229" s="41" t="s">
        <v>466</v>
      </c>
      <c r="D229" s="53"/>
      <c r="E229" s="15" t="s">
        <v>467</v>
      </c>
      <c r="F229" s="30"/>
      <c r="G229" s="31"/>
      <c r="H229" s="30"/>
      <c r="I229" s="58"/>
      <c r="J229" s="30"/>
      <c r="K229" s="58"/>
      <c r="L229" s="30"/>
      <c r="M229" s="58"/>
      <c r="N229" s="30"/>
      <c r="O229" s="58"/>
      <c r="P229" s="30"/>
      <c r="Q229" s="58"/>
      <c r="R229" s="30"/>
      <c r="S229" s="58"/>
      <c r="T229" s="30"/>
      <c r="U229" s="58"/>
      <c r="V229" s="30"/>
      <c r="W229" s="58"/>
      <c r="X229" s="30"/>
      <c r="Y229" s="58"/>
      <c r="Z229" s="30"/>
      <c r="AA229" s="58"/>
      <c r="AB229" s="30"/>
      <c r="AC229" s="58"/>
      <c r="AD229" s="30"/>
      <c r="AE229" s="58"/>
      <c r="AF229" s="55">
        <v>50000</v>
      </c>
      <c r="AG229" s="12">
        <f>+F229++H229++J229++L229++N229++P229++R229++T229++V229++X229++Z229++AB229++AD229+0</f>
        <v>0</v>
      </c>
      <c r="AH229" s="11">
        <f>G229+I229+K229+M229+O229+Q229+S229+U229+W229+Y229+AA229+AC229+AE229+0</f>
        <v>0</v>
      </c>
      <c r="AI229" s="6"/>
    </row>
    <row r="230" spans="1:35" x14ac:dyDescent="0.2">
      <c r="A230" s="4"/>
      <c r="B230" s="17">
        <v>222</v>
      </c>
      <c r="C230" s="41" t="s">
        <v>468</v>
      </c>
      <c r="D230" s="53"/>
      <c r="E230" s="15" t="s">
        <v>469</v>
      </c>
      <c r="F230" s="30"/>
      <c r="G230" s="31"/>
      <c r="H230" s="30"/>
      <c r="I230" s="58"/>
      <c r="J230" s="30"/>
      <c r="K230" s="58"/>
      <c r="L230" s="30"/>
      <c r="M230" s="58"/>
      <c r="N230" s="30"/>
      <c r="O230" s="58"/>
      <c r="P230" s="30"/>
      <c r="Q230" s="58"/>
      <c r="R230" s="30"/>
      <c r="S230" s="58"/>
      <c r="T230" s="30"/>
      <c r="U230" s="58"/>
      <c r="V230" s="30"/>
      <c r="W230" s="58"/>
      <c r="X230" s="30"/>
      <c r="Y230" s="58"/>
      <c r="Z230" s="30"/>
      <c r="AA230" s="58"/>
      <c r="AB230" s="30"/>
      <c r="AC230" s="58"/>
      <c r="AD230" s="30"/>
      <c r="AE230" s="58"/>
      <c r="AF230" s="55">
        <v>30000</v>
      </c>
      <c r="AG230" s="12">
        <f>+F230++H230++J230++L230++N230++P230++R230++T230++V230++X230++Z230++AB230++AD230+0</f>
        <v>0</v>
      </c>
      <c r="AH230" s="11">
        <f>G230+I230+K230+M230+O230+Q230+S230+U230+W230+Y230+AA230+AC230+AE230+0</f>
        <v>0</v>
      </c>
      <c r="AI230" s="6"/>
    </row>
    <row r="231" spans="1:35" x14ac:dyDescent="0.2">
      <c r="A231" s="4"/>
      <c r="B231" s="17">
        <v>223</v>
      </c>
      <c r="C231" s="41" t="s">
        <v>470</v>
      </c>
      <c r="D231" s="53"/>
      <c r="E231" s="15" t="s">
        <v>471</v>
      </c>
      <c r="F231" s="30"/>
      <c r="G231" s="31"/>
      <c r="H231" s="30"/>
      <c r="I231" s="58"/>
      <c r="J231" s="30"/>
      <c r="K231" s="58"/>
      <c r="L231" s="30"/>
      <c r="M231" s="58"/>
      <c r="N231" s="30"/>
      <c r="O231" s="58"/>
      <c r="P231" s="30"/>
      <c r="Q231" s="58"/>
      <c r="R231" s="30"/>
      <c r="S231" s="58"/>
      <c r="T231" s="30"/>
      <c r="U231" s="58"/>
      <c r="V231" s="30"/>
      <c r="W231" s="58"/>
      <c r="X231" s="30"/>
      <c r="Y231" s="58"/>
      <c r="Z231" s="30"/>
      <c r="AA231" s="58"/>
      <c r="AB231" s="30"/>
      <c r="AC231" s="58"/>
      <c r="AD231" s="30"/>
      <c r="AE231" s="58"/>
      <c r="AF231" s="55">
        <v>50000</v>
      </c>
      <c r="AG231" s="12">
        <f>+F231++H231++J231++L231++N231++P231++R231++T231++V231++X231++Z231++AB231++AD231+0</f>
        <v>0</v>
      </c>
      <c r="AH231" s="11">
        <f>G231+I231+K231+M231+O231+Q231+S231+U231+W231+Y231+AA231+AC231+AE231+0</f>
        <v>0</v>
      </c>
      <c r="AI231" s="6"/>
    </row>
    <row r="232" spans="1:35" x14ac:dyDescent="0.2">
      <c r="A232" s="4"/>
      <c r="B232" s="17">
        <v>224</v>
      </c>
      <c r="C232" s="41" t="s">
        <v>472</v>
      </c>
      <c r="D232" s="53"/>
      <c r="E232" s="15" t="s">
        <v>473</v>
      </c>
      <c r="F232" s="30"/>
      <c r="G232" s="31"/>
      <c r="H232" s="30"/>
      <c r="I232" s="58"/>
      <c r="J232" s="30"/>
      <c r="K232" s="58"/>
      <c r="L232" s="30"/>
      <c r="M232" s="58"/>
      <c r="N232" s="30"/>
      <c r="O232" s="58"/>
      <c r="P232" s="30"/>
      <c r="Q232" s="58"/>
      <c r="R232" s="30"/>
      <c r="S232" s="58"/>
      <c r="T232" s="30"/>
      <c r="U232" s="58"/>
      <c r="V232" s="30"/>
      <c r="W232" s="58"/>
      <c r="X232" s="30"/>
      <c r="Y232" s="58"/>
      <c r="Z232" s="30"/>
      <c r="AA232" s="58"/>
      <c r="AB232" s="30"/>
      <c r="AC232" s="58"/>
      <c r="AD232" s="30"/>
      <c r="AE232" s="58"/>
      <c r="AF232" s="55">
        <v>40000</v>
      </c>
      <c r="AG232" s="12">
        <f>+F232++H232++J232++L232++N232++P232++R232++T232++V232++X232++Z232++AB232++AD232+0</f>
        <v>0</v>
      </c>
      <c r="AH232" s="11">
        <f>G232+I232+K232+M232+O232+Q232+S232+U232+W232+Y232+AA232+AC232+AE232+0</f>
        <v>0</v>
      </c>
      <c r="AI232" s="6"/>
    </row>
    <row r="233" spans="1:35" x14ac:dyDescent="0.2">
      <c r="A233" s="4"/>
      <c r="B233" s="17">
        <v>225</v>
      </c>
      <c r="C233" s="41" t="s">
        <v>474</v>
      </c>
      <c r="D233" s="53"/>
      <c r="E233" s="15" t="s">
        <v>475</v>
      </c>
      <c r="F233" s="30"/>
      <c r="G233" s="31"/>
      <c r="H233" s="30"/>
      <c r="I233" s="58"/>
      <c r="J233" s="30"/>
      <c r="K233" s="58"/>
      <c r="L233" s="30"/>
      <c r="M233" s="58"/>
      <c r="N233" s="30"/>
      <c r="O233" s="58"/>
      <c r="P233" s="30"/>
      <c r="Q233" s="58"/>
      <c r="R233" s="30"/>
      <c r="S233" s="58"/>
      <c r="T233" s="30"/>
      <c r="U233" s="58"/>
      <c r="V233" s="30"/>
      <c r="W233" s="58"/>
      <c r="X233" s="30"/>
      <c r="Y233" s="58"/>
      <c r="Z233" s="30"/>
      <c r="AA233" s="58"/>
      <c r="AB233" s="30"/>
      <c r="AC233" s="58"/>
      <c r="AD233" s="30"/>
      <c r="AE233" s="58"/>
      <c r="AF233" s="55">
        <v>10000</v>
      </c>
      <c r="AG233" s="12">
        <f>+F233++H233++J233++L233++N233++P233++R233++T233++V233++X233++Z233++AB233++AD233+0</f>
        <v>0</v>
      </c>
      <c r="AH233" s="11">
        <f>G233+I233+K233+M233+O233+Q233+S233+U233+W233+Y233+AA233+AC233+AE233+0</f>
        <v>0</v>
      </c>
      <c r="AI233" s="6"/>
    </row>
    <row r="234" spans="1:35" x14ac:dyDescent="0.2">
      <c r="A234" s="4"/>
      <c r="B234" s="17">
        <v>226</v>
      </c>
      <c r="C234" s="41" t="s">
        <v>476</v>
      </c>
      <c r="D234" s="53"/>
      <c r="E234" s="15" t="s">
        <v>477</v>
      </c>
      <c r="F234" s="30"/>
      <c r="G234" s="31"/>
      <c r="H234" s="30"/>
      <c r="I234" s="58"/>
      <c r="J234" s="30"/>
      <c r="K234" s="58"/>
      <c r="L234" s="30"/>
      <c r="M234" s="58"/>
      <c r="N234" s="30"/>
      <c r="O234" s="58"/>
      <c r="P234" s="30"/>
      <c r="Q234" s="58"/>
      <c r="R234" s="30"/>
      <c r="S234" s="58"/>
      <c r="T234" s="30"/>
      <c r="U234" s="58"/>
      <c r="V234" s="30"/>
      <c r="W234" s="58"/>
      <c r="X234" s="30"/>
      <c r="Y234" s="58"/>
      <c r="Z234" s="30"/>
      <c r="AA234" s="58"/>
      <c r="AB234" s="30"/>
      <c r="AC234" s="58"/>
      <c r="AD234" s="30"/>
      <c r="AE234" s="58"/>
      <c r="AF234" s="55">
        <v>25000</v>
      </c>
      <c r="AG234" s="12">
        <f>+F234++H234++J234++L234++N234++P234++R234++T234++V234++X234++Z234++AB234++AD234+0</f>
        <v>0</v>
      </c>
      <c r="AH234" s="11">
        <f>G234+I234+K234+M234+O234+Q234+S234+U234+W234+Y234+AA234+AC234+AE234+0</f>
        <v>0</v>
      </c>
      <c r="AI234" s="6"/>
    </row>
    <row r="235" spans="1:35" x14ac:dyDescent="0.2">
      <c r="A235" s="4"/>
      <c r="B235" s="17">
        <v>227</v>
      </c>
      <c r="C235" s="41" t="s">
        <v>478</v>
      </c>
      <c r="D235" s="53"/>
      <c r="E235" s="15" t="s">
        <v>479</v>
      </c>
      <c r="F235" s="30"/>
      <c r="G235" s="31"/>
      <c r="H235" s="30"/>
      <c r="I235" s="58"/>
      <c r="J235" s="30"/>
      <c r="K235" s="58"/>
      <c r="L235" s="30"/>
      <c r="M235" s="58"/>
      <c r="N235" s="30"/>
      <c r="O235" s="58"/>
      <c r="P235" s="30"/>
      <c r="Q235" s="58"/>
      <c r="R235" s="30"/>
      <c r="S235" s="58"/>
      <c r="T235" s="30"/>
      <c r="U235" s="58"/>
      <c r="V235" s="30"/>
      <c r="W235" s="58"/>
      <c r="X235" s="30"/>
      <c r="Y235" s="58"/>
      <c r="Z235" s="30"/>
      <c r="AA235" s="58"/>
      <c r="AB235" s="30"/>
      <c r="AC235" s="58"/>
      <c r="AD235" s="30"/>
      <c r="AE235" s="58"/>
      <c r="AF235" s="55">
        <v>20000</v>
      </c>
      <c r="AG235" s="12">
        <f>+F235++H235++J235++L235++N235++P235++R235++T235++V235++X235++Z235++AB235++AD235+0</f>
        <v>0</v>
      </c>
      <c r="AH235" s="11">
        <f>G235+I235+K235+M235+O235+Q235+S235+U235+W235+Y235+AA235+AC235+AE235+0</f>
        <v>0</v>
      </c>
      <c r="AI235" s="6"/>
    </row>
    <row r="236" spans="1:35" x14ac:dyDescent="0.2">
      <c r="A236" s="4"/>
      <c r="B236" s="17">
        <v>228</v>
      </c>
      <c r="C236" s="41" t="s">
        <v>480</v>
      </c>
      <c r="D236" s="53"/>
      <c r="E236" s="15" t="s">
        <v>481</v>
      </c>
      <c r="F236" s="30"/>
      <c r="G236" s="31"/>
      <c r="H236" s="30"/>
      <c r="I236" s="58"/>
      <c r="J236" s="30"/>
      <c r="K236" s="58"/>
      <c r="L236" s="30"/>
      <c r="M236" s="58"/>
      <c r="N236" s="30"/>
      <c r="O236" s="58"/>
      <c r="P236" s="30"/>
      <c r="Q236" s="58"/>
      <c r="R236" s="30"/>
      <c r="S236" s="58"/>
      <c r="T236" s="30"/>
      <c r="U236" s="58"/>
      <c r="V236" s="30"/>
      <c r="W236" s="58"/>
      <c r="X236" s="30"/>
      <c r="Y236" s="58"/>
      <c r="Z236" s="30"/>
      <c r="AA236" s="58"/>
      <c r="AB236" s="30"/>
      <c r="AC236" s="58"/>
      <c r="AD236" s="30"/>
      <c r="AE236" s="58"/>
      <c r="AF236" s="55">
        <v>100000</v>
      </c>
      <c r="AG236" s="12">
        <f>+F236++H236++J236++L236++N236++P236++R236++T236++V236++X236++Z236++AB236++AD236+0</f>
        <v>0</v>
      </c>
      <c r="AH236" s="11">
        <f>G236+I236+K236+M236+O236+Q236+S236+U236+W236+Y236+AA236+AC236+AE236+0</f>
        <v>0</v>
      </c>
      <c r="AI236" s="6"/>
    </row>
    <row r="237" spans="1:35" x14ac:dyDescent="0.2">
      <c r="A237" s="4"/>
      <c r="B237" s="17">
        <v>229</v>
      </c>
      <c r="C237" s="41" t="s">
        <v>482</v>
      </c>
      <c r="D237" s="53"/>
      <c r="E237" s="15" t="s">
        <v>483</v>
      </c>
      <c r="F237" s="30"/>
      <c r="G237" s="31"/>
      <c r="H237" s="30"/>
      <c r="I237" s="58"/>
      <c r="J237" s="30"/>
      <c r="K237" s="58"/>
      <c r="L237" s="30"/>
      <c r="M237" s="58"/>
      <c r="N237" s="30"/>
      <c r="O237" s="58"/>
      <c r="P237" s="30"/>
      <c r="Q237" s="58"/>
      <c r="R237" s="30"/>
      <c r="S237" s="58"/>
      <c r="T237" s="30"/>
      <c r="U237" s="58"/>
      <c r="V237" s="30"/>
      <c r="W237" s="58"/>
      <c r="X237" s="30"/>
      <c r="Y237" s="58"/>
      <c r="Z237" s="30"/>
      <c r="AA237" s="58"/>
      <c r="AB237" s="30"/>
      <c r="AC237" s="58"/>
      <c r="AD237" s="30"/>
      <c r="AE237" s="58"/>
      <c r="AF237" s="55">
        <v>25000</v>
      </c>
      <c r="AG237" s="12">
        <f>+F237++H237++J237++L237++N237++P237++R237++T237++V237++X237++Z237++AB237++AD237+0</f>
        <v>0</v>
      </c>
      <c r="AH237" s="11">
        <f>G237+I237+K237+M237+O237+Q237+S237+U237+W237+Y237+AA237+AC237+AE237+0</f>
        <v>0</v>
      </c>
      <c r="AI237" s="6"/>
    </row>
    <row r="238" spans="1:35" x14ac:dyDescent="0.2">
      <c r="A238" s="4"/>
      <c r="B238" s="17">
        <v>230</v>
      </c>
      <c r="C238" s="41" t="s">
        <v>484</v>
      </c>
      <c r="D238" s="53"/>
      <c r="E238" s="15" t="s">
        <v>485</v>
      </c>
      <c r="F238" s="30"/>
      <c r="G238" s="31"/>
      <c r="H238" s="30"/>
      <c r="I238" s="58"/>
      <c r="J238" s="30"/>
      <c r="K238" s="58"/>
      <c r="L238" s="30"/>
      <c r="M238" s="58"/>
      <c r="N238" s="30"/>
      <c r="O238" s="58"/>
      <c r="P238" s="30"/>
      <c r="Q238" s="58"/>
      <c r="R238" s="30"/>
      <c r="S238" s="58"/>
      <c r="T238" s="30"/>
      <c r="U238" s="58"/>
      <c r="V238" s="30"/>
      <c r="W238" s="58"/>
      <c r="X238" s="30"/>
      <c r="Y238" s="58"/>
      <c r="Z238" s="30"/>
      <c r="AA238" s="58"/>
      <c r="AB238" s="30"/>
      <c r="AC238" s="58"/>
      <c r="AD238" s="30"/>
      <c r="AE238" s="58"/>
      <c r="AF238" s="55">
        <v>20000</v>
      </c>
      <c r="AG238" s="12">
        <f>+F238++H238++J238++L238++N238++P238++R238++T238++V238++X238++Z238++AB238++AD238+0</f>
        <v>0</v>
      </c>
      <c r="AH238" s="11">
        <f>G238+I238+K238+M238+O238+Q238+S238+U238+W238+Y238+AA238+AC238+AE238+0</f>
        <v>0</v>
      </c>
      <c r="AI238" s="6"/>
    </row>
    <row r="239" spans="1:35" x14ac:dyDescent="0.2">
      <c r="A239" s="4"/>
      <c r="B239" s="17">
        <v>231</v>
      </c>
      <c r="C239" s="41" t="s">
        <v>486</v>
      </c>
      <c r="D239" s="53"/>
      <c r="E239" s="15" t="s">
        <v>487</v>
      </c>
      <c r="F239" s="30"/>
      <c r="G239" s="31"/>
      <c r="H239" s="30"/>
      <c r="I239" s="58"/>
      <c r="J239" s="30"/>
      <c r="K239" s="58"/>
      <c r="L239" s="30"/>
      <c r="M239" s="58"/>
      <c r="N239" s="30"/>
      <c r="O239" s="58"/>
      <c r="P239" s="30"/>
      <c r="Q239" s="58"/>
      <c r="R239" s="30"/>
      <c r="S239" s="58"/>
      <c r="T239" s="30"/>
      <c r="U239" s="58"/>
      <c r="V239" s="30"/>
      <c r="W239" s="58"/>
      <c r="X239" s="30"/>
      <c r="Y239" s="58"/>
      <c r="Z239" s="30"/>
      <c r="AA239" s="58"/>
      <c r="AB239" s="30"/>
      <c r="AC239" s="58"/>
      <c r="AD239" s="30"/>
      <c r="AE239" s="58"/>
      <c r="AF239" s="55">
        <v>30000</v>
      </c>
      <c r="AG239" s="12">
        <f>+F239++H239++J239++L239++N239++P239++R239++T239++V239++X239++Z239++AB239++AD239+0</f>
        <v>0</v>
      </c>
      <c r="AH239" s="11">
        <f>G239+I239+K239+M239+O239+Q239+S239+U239+W239+Y239+AA239+AC239+AE239+0</f>
        <v>0</v>
      </c>
      <c r="AI239" s="6"/>
    </row>
    <row r="240" spans="1:35" x14ac:dyDescent="0.2">
      <c r="A240" s="4"/>
      <c r="B240" s="17">
        <v>232</v>
      </c>
      <c r="C240" s="41" t="s">
        <v>488</v>
      </c>
      <c r="D240" s="53"/>
      <c r="E240" s="15" t="s">
        <v>489</v>
      </c>
      <c r="F240" s="30"/>
      <c r="G240" s="31"/>
      <c r="H240" s="30"/>
      <c r="I240" s="58"/>
      <c r="J240" s="30"/>
      <c r="K240" s="58"/>
      <c r="L240" s="30"/>
      <c r="M240" s="58"/>
      <c r="N240" s="30"/>
      <c r="O240" s="58"/>
      <c r="P240" s="30"/>
      <c r="Q240" s="58"/>
      <c r="R240" s="30"/>
      <c r="S240" s="58"/>
      <c r="T240" s="30"/>
      <c r="U240" s="58"/>
      <c r="V240" s="30"/>
      <c r="W240" s="58"/>
      <c r="X240" s="30"/>
      <c r="Y240" s="58"/>
      <c r="Z240" s="30"/>
      <c r="AA240" s="58"/>
      <c r="AB240" s="30"/>
      <c r="AC240" s="58"/>
      <c r="AD240" s="30"/>
      <c r="AE240" s="58"/>
      <c r="AF240" s="55">
        <v>10000</v>
      </c>
      <c r="AG240" s="12">
        <f>+F240++H240++J240++L240++N240++P240++R240++T240++V240++X240++Z240++AB240++AD240+0</f>
        <v>0</v>
      </c>
      <c r="AH240" s="11">
        <f>G240+I240+K240+M240+O240+Q240+S240+U240+W240+Y240+AA240+AC240+AE240+0</f>
        <v>0</v>
      </c>
      <c r="AI240" s="6"/>
    </row>
    <row r="241" spans="1:35" x14ac:dyDescent="0.2">
      <c r="A241" s="4"/>
      <c r="B241" s="17">
        <v>233</v>
      </c>
      <c r="C241" s="41" t="s">
        <v>490</v>
      </c>
      <c r="D241" s="53"/>
      <c r="E241" s="15" t="s">
        <v>491</v>
      </c>
      <c r="F241" s="30"/>
      <c r="G241" s="31"/>
      <c r="H241" s="30"/>
      <c r="I241" s="58"/>
      <c r="J241" s="30"/>
      <c r="K241" s="58"/>
      <c r="L241" s="30"/>
      <c r="M241" s="58"/>
      <c r="N241" s="30"/>
      <c r="O241" s="58"/>
      <c r="P241" s="30"/>
      <c r="Q241" s="58"/>
      <c r="R241" s="30"/>
      <c r="S241" s="58"/>
      <c r="T241" s="30"/>
      <c r="U241" s="58"/>
      <c r="V241" s="30"/>
      <c r="W241" s="58"/>
      <c r="X241" s="30"/>
      <c r="Y241" s="58"/>
      <c r="Z241" s="30"/>
      <c r="AA241" s="58"/>
      <c r="AB241" s="30"/>
      <c r="AC241" s="58"/>
      <c r="AD241" s="30"/>
      <c r="AE241" s="58"/>
      <c r="AF241" s="55">
        <v>20000</v>
      </c>
      <c r="AG241" s="12">
        <f>+F241++H241++J241++L241++N241++P241++R241++T241++V241++X241++Z241++AB241++AD241+0</f>
        <v>0</v>
      </c>
      <c r="AH241" s="11">
        <f>G241+I241+K241+M241+O241+Q241+S241+U241+W241+Y241+AA241+AC241+AE241+0</f>
        <v>0</v>
      </c>
      <c r="AI241" s="6"/>
    </row>
    <row r="242" spans="1:35" x14ac:dyDescent="0.2">
      <c r="A242" s="4"/>
      <c r="B242" s="17">
        <v>234</v>
      </c>
      <c r="C242" s="41" t="s">
        <v>492</v>
      </c>
      <c r="D242" s="53"/>
      <c r="E242" s="15" t="s">
        <v>493</v>
      </c>
      <c r="F242" s="30"/>
      <c r="G242" s="31"/>
      <c r="H242" s="30"/>
      <c r="I242" s="58"/>
      <c r="J242" s="30"/>
      <c r="K242" s="58"/>
      <c r="L242" s="30"/>
      <c r="M242" s="58"/>
      <c r="N242" s="30"/>
      <c r="O242" s="58"/>
      <c r="P242" s="30"/>
      <c r="Q242" s="58"/>
      <c r="R242" s="30"/>
      <c r="S242" s="58"/>
      <c r="T242" s="30"/>
      <c r="U242" s="58"/>
      <c r="V242" s="30"/>
      <c r="W242" s="58"/>
      <c r="X242" s="30"/>
      <c r="Y242" s="58"/>
      <c r="Z242" s="30"/>
      <c r="AA242" s="58"/>
      <c r="AB242" s="30"/>
      <c r="AC242" s="58"/>
      <c r="AD242" s="30"/>
      <c r="AE242" s="58"/>
      <c r="AF242" s="55">
        <v>30000</v>
      </c>
      <c r="AG242" s="12">
        <f>+F242++H242++J242++L242++N242++P242++R242++T242++V242++X242++Z242++AB242++AD242+0</f>
        <v>0</v>
      </c>
      <c r="AH242" s="11">
        <f>G242+I242+K242+M242+O242+Q242+S242+U242+W242+Y242+AA242+AC242+AE242+0</f>
        <v>0</v>
      </c>
      <c r="AI242" s="6"/>
    </row>
    <row r="243" spans="1:35" x14ac:dyDescent="0.2">
      <c r="A243" s="4"/>
      <c r="B243" s="17">
        <v>235</v>
      </c>
      <c r="C243" s="41" t="s">
        <v>494</v>
      </c>
      <c r="D243" s="53"/>
      <c r="E243" s="15" t="s">
        <v>495</v>
      </c>
      <c r="F243" s="30"/>
      <c r="G243" s="31"/>
      <c r="H243" s="30"/>
      <c r="I243" s="58"/>
      <c r="J243" s="30"/>
      <c r="K243" s="58"/>
      <c r="L243" s="30"/>
      <c r="M243" s="58"/>
      <c r="N243" s="30"/>
      <c r="O243" s="58"/>
      <c r="P243" s="30"/>
      <c r="Q243" s="58"/>
      <c r="R243" s="30"/>
      <c r="S243" s="58"/>
      <c r="T243" s="30"/>
      <c r="U243" s="58"/>
      <c r="V243" s="30"/>
      <c r="W243" s="58"/>
      <c r="X243" s="30"/>
      <c r="Y243" s="58"/>
      <c r="Z243" s="30"/>
      <c r="AA243" s="58"/>
      <c r="AB243" s="30"/>
      <c r="AC243" s="58"/>
      <c r="AD243" s="30"/>
      <c r="AE243" s="58"/>
      <c r="AF243" s="55">
        <v>90000</v>
      </c>
      <c r="AG243" s="12">
        <f>+F243++H243++J243++L243++N243++P243++R243++T243++V243++X243++Z243++AB243++AD243+0</f>
        <v>0</v>
      </c>
      <c r="AH243" s="11">
        <f>G243+I243+K243+M243+O243+Q243+S243+U243+W243+Y243+AA243+AC243+AE243+0</f>
        <v>0</v>
      </c>
      <c r="AI243" s="6"/>
    </row>
    <row r="244" spans="1:35" x14ac:dyDescent="0.2">
      <c r="A244" s="4"/>
      <c r="B244" s="17">
        <v>236</v>
      </c>
      <c r="C244" s="41" t="s">
        <v>496</v>
      </c>
      <c r="D244" s="53"/>
      <c r="E244" s="15" t="s">
        <v>497</v>
      </c>
      <c r="F244" s="30"/>
      <c r="G244" s="31"/>
      <c r="H244" s="30"/>
      <c r="I244" s="58"/>
      <c r="J244" s="30"/>
      <c r="K244" s="58"/>
      <c r="L244" s="30"/>
      <c r="M244" s="58"/>
      <c r="N244" s="30"/>
      <c r="O244" s="58"/>
      <c r="P244" s="30"/>
      <c r="Q244" s="58"/>
      <c r="R244" s="30"/>
      <c r="S244" s="58"/>
      <c r="T244" s="30"/>
      <c r="U244" s="58"/>
      <c r="V244" s="30"/>
      <c r="W244" s="58"/>
      <c r="X244" s="30"/>
      <c r="Y244" s="58"/>
      <c r="Z244" s="30"/>
      <c r="AA244" s="58"/>
      <c r="AB244" s="30"/>
      <c r="AC244" s="58"/>
      <c r="AD244" s="30"/>
      <c r="AE244" s="58"/>
      <c r="AF244" s="55">
        <v>50000</v>
      </c>
      <c r="AG244" s="12">
        <f>+F244++H244++J244++L244++N244++P244++R244++T244++V244++X244++Z244++AB244++AD244+0</f>
        <v>0</v>
      </c>
      <c r="AH244" s="11">
        <f>G244+I244+K244+M244+O244+Q244+S244+U244+W244+Y244+AA244+AC244+AE244+0</f>
        <v>0</v>
      </c>
      <c r="AI244" s="6"/>
    </row>
    <row r="245" spans="1:35" x14ac:dyDescent="0.2">
      <c r="A245" s="4"/>
      <c r="B245" s="17">
        <v>237</v>
      </c>
      <c r="C245" s="41" t="s">
        <v>498</v>
      </c>
      <c r="D245" s="53"/>
      <c r="E245" s="15" t="s">
        <v>499</v>
      </c>
      <c r="F245" s="30"/>
      <c r="G245" s="31"/>
      <c r="H245" s="30"/>
      <c r="I245" s="58"/>
      <c r="J245" s="30"/>
      <c r="K245" s="58"/>
      <c r="L245" s="30"/>
      <c r="M245" s="58"/>
      <c r="N245" s="30"/>
      <c r="O245" s="58"/>
      <c r="P245" s="30"/>
      <c r="Q245" s="58"/>
      <c r="R245" s="30"/>
      <c r="S245" s="58"/>
      <c r="T245" s="30"/>
      <c r="U245" s="58"/>
      <c r="V245" s="30"/>
      <c r="W245" s="58"/>
      <c r="X245" s="30"/>
      <c r="Y245" s="58"/>
      <c r="Z245" s="30"/>
      <c r="AA245" s="58"/>
      <c r="AB245" s="30"/>
      <c r="AC245" s="58"/>
      <c r="AD245" s="30"/>
      <c r="AE245" s="58"/>
      <c r="AF245" s="55">
        <v>10000</v>
      </c>
      <c r="AG245" s="12">
        <f>+F245++H245++J245++L245++N245++P245++R245++T245++V245++X245++Z245++AB245++AD245+0</f>
        <v>0</v>
      </c>
      <c r="AH245" s="11">
        <f>G245+I245+K245+M245+O245+Q245+S245+U245+W245+Y245+AA245+AC245+AE245+0</f>
        <v>0</v>
      </c>
      <c r="AI245" s="6"/>
    </row>
    <row r="246" spans="1:35" x14ac:dyDescent="0.2">
      <c r="A246" s="4"/>
      <c r="B246" s="17">
        <v>238</v>
      </c>
      <c r="C246" s="41" t="s">
        <v>500</v>
      </c>
      <c r="D246" s="53"/>
      <c r="E246" s="15" t="s">
        <v>501</v>
      </c>
      <c r="F246" s="30"/>
      <c r="G246" s="31"/>
      <c r="H246" s="30"/>
      <c r="I246" s="58"/>
      <c r="J246" s="30"/>
      <c r="K246" s="58"/>
      <c r="L246" s="30"/>
      <c r="M246" s="58"/>
      <c r="N246" s="30"/>
      <c r="O246" s="58"/>
      <c r="P246" s="30"/>
      <c r="Q246" s="58"/>
      <c r="R246" s="30"/>
      <c r="S246" s="58"/>
      <c r="T246" s="30"/>
      <c r="U246" s="58"/>
      <c r="V246" s="30"/>
      <c r="W246" s="58"/>
      <c r="X246" s="30"/>
      <c r="Y246" s="58"/>
      <c r="Z246" s="30"/>
      <c r="AA246" s="58"/>
      <c r="AB246" s="30"/>
      <c r="AC246" s="58"/>
      <c r="AD246" s="30"/>
      <c r="AE246" s="58"/>
      <c r="AF246" s="55">
        <v>15000</v>
      </c>
      <c r="AG246" s="12">
        <f>+F246++H246++J246++L246++N246++P246++R246++T246++V246++X246++Z246++AB246++AD246+0</f>
        <v>0</v>
      </c>
      <c r="AH246" s="11">
        <f>G246+I246+K246+M246+O246+Q246+S246+U246+W246+Y246+AA246+AC246+AE246+0</f>
        <v>0</v>
      </c>
      <c r="AI246" s="6"/>
    </row>
    <row r="247" spans="1:35" x14ac:dyDescent="0.2">
      <c r="A247" s="4"/>
      <c r="B247" s="17">
        <v>239</v>
      </c>
      <c r="C247" s="41" t="s">
        <v>502</v>
      </c>
      <c r="D247" s="53"/>
      <c r="E247" s="15" t="s">
        <v>503</v>
      </c>
      <c r="F247" s="30"/>
      <c r="G247" s="31"/>
      <c r="H247" s="30"/>
      <c r="I247" s="58"/>
      <c r="J247" s="30"/>
      <c r="K247" s="58"/>
      <c r="L247" s="30"/>
      <c r="M247" s="58"/>
      <c r="N247" s="30"/>
      <c r="O247" s="58"/>
      <c r="P247" s="30"/>
      <c r="Q247" s="58"/>
      <c r="R247" s="30"/>
      <c r="S247" s="58"/>
      <c r="T247" s="30"/>
      <c r="U247" s="58"/>
      <c r="V247" s="30"/>
      <c r="W247" s="58"/>
      <c r="X247" s="30"/>
      <c r="Y247" s="58"/>
      <c r="Z247" s="30"/>
      <c r="AA247" s="58"/>
      <c r="AB247" s="30"/>
      <c r="AC247" s="58"/>
      <c r="AD247" s="30"/>
      <c r="AE247" s="58"/>
      <c r="AF247" s="55">
        <v>427000</v>
      </c>
      <c r="AG247" s="12">
        <f>+F247++H247++J247++L247++N247++P247++R247++T247++V247++X247++Z247++AB247++AD247+0</f>
        <v>0</v>
      </c>
      <c r="AH247" s="11">
        <f>G247+I247+K247+M247+O247+Q247+S247+U247+W247+Y247+AA247+AC247+AE247+0</f>
        <v>0</v>
      </c>
      <c r="AI247" s="6"/>
    </row>
    <row r="248" spans="1:35" x14ac:dyDescent="0.2">
      <c r="A248" s="4"/>
      <c r="B248" s="17">
        <v>240</v>
      </c>
      <c r="C248" s="41" t="s">
        <v>504</v>
      </c>
      <c r="D248" s="53"/>
      <c r="E248" s="15" t="s">
        <v>505</v>
      </c>
      <c r="F248" s="30"/>
      <c r="G248" s="31"/>
      <c r="H248" s="30"/>
      <c r="I248" s="58"/>
      <c r="J248" s="30"/>
      <c r="K248" s="58"/>
      <c r="L248" s="30"/>
      <c r="M248" s="58"/>
      <c r="N248" s="30"/>
      <c r="O248" s="58"/>
      <c r="P248" s="30"/>
      <c r="Q248" s="58"/>
      <c r="R248" s="30"/>
      <c r="S248" s="58"/>
      <c r="T248" s="30"/>
      <c r="U248" s="58"/>
      <c r="V248" s="30"/>
      <c r="W248" s="58"/>
      <c r="X248" s="30"/>
      <c r="Y248" s="58"/>
      <c r="Z248" s="30"/>
      <c r="AA248" s="58"/>
      <c r="AB248" s="30"/>
      <c r="AC248" s="58"/>
      <c r="AD248" s="30"/>
      <c r="AE248" s="58"/>
      <c r="AF248" s="55">
        <v>50000</v>
      </c>
      <c r="AG248" s="12">
        <f>+F248++H248++J248++L248++N248++P248++R248++T248++V248++X248++Z248++AB248++AD248+0</f>
        <v>0</v>
      </c>
      <c r="AH248" s="11">
        <f>G248+I248+K248+M248+O248+Q248+S248+U248+W248+Y248+AA248+AC248+AE248+0</f>
        <v>0</v>
      </c>
      <c r="AI248" s="6"/>
    </row>
    <row r="249" spans="1:35" x14ac:dyDescent="0.2">
      <c r="A249" s="4"/>
      <c r="B249" s="17">
        <v>241</v>
      </c>
      <c r="C249" s="41" t="s">
        <v>506</v>
      </c>
      <c r="D249" s="53"/>
      <c r="E249" s="15" t="s">
        <v>507</v>
      </c>
      <c r="F249" s="30"/>
      <c r="G249" s="31"/>
      <c r="H249" s="30"/>
      <c r="I249" s="58"/>
      <c r="J249" s="30"/>
      <c r="K249" s="58"/>
      <c r="L249" s="30"/>
      <c r="M249" s="58"/>
      <c r="N249" s="30"/>
      <c r="O249" s="58"/>
      <c r="P249" s="30"/>
      <c r="Q249" s="58"/>
      <c r="R249" s="30"/>
      <c r="S249" s="58"/>
      <c r="T249" s="30"/>
      <c r="U249" s="58"/>
      <c r="V249" s="30"/>
      <c r="W249" s="58"/>
      <c r="X249" s="30"/>
      <c r="Y249" s="58"/>
      <c r="Z249" s="30"/>
      <c r="AA249" s="58"/>
      <c r="AB249" s="30"/>
      <c r="AC249" s="58"/>
      <c r="AD249" s="30"/>
      <c r="AE249" s="58"/>
      <c r="AF249" s="55">
        <v>30000</v>
      </c>
      <c r="AG249" s="12">
        <f>+F249++H249++J249++L249++N249++P249++R249++T249++V249++X249++Z249++AB249++AD249+0</f>
        <v>0</v>
      </c>
      <c r="AH249" s="11">
        <f>G249+I249+K249+M249+O249+Q249+S249+U249+W249+Y249+AA249+AC249+AE249+0</f>
        <v>0</v>
      </c>
      <c r="AI249" s="6"/>
    </row>
    <row r="250" spans="1:35" x14ac:dyDescent="0.2">
      <c r="A250" s="4"/>
      <c r="B250" s="17">
        <v>242</v>
      </c>
      <c r="C250" s="41" t="s">
        <v>508</v>
      </c>
      <c r="D250" s="53"/>
      <c r="E250" s="15" t="s">
        <v>509</v>
      </c>
      <c r="F250" s="30"/>
      <c r="G250" s="31"/>
      <c r="H250" s="30"/>
      <c r="I250" s="58"/>
      <c r="J250" s="30"/>
      <c r="K250" s="58"/>
      <c r="L250" s="30"/>
      <c r="M250" s="58"/>
      <c r="N250" s="30"/>
      <c r="O250" s="58"/>
      <c r="P250" s="30"/>
      <c r="Q250" s="58"/>
      <c r="R250" s="30"/>
      <c r="S250" s="58"/>
      <c r="T250" s="30"/>
      <c r="U250" s="58"/>
      <c r="V250" s="30"/>
      <c r="W250" s="58"/>
      <c r="X250" s="30"/>
      <c r="Y250" s="58"/>
      <c r="Z250" s="30"/>
      <c r="AA250" s="58"/>
      <c r="AB250" s="30"/>
      <c r="AC250" s="58"/>
      <c r="AD250" s="30"/>
      <c r="AE250" s="58"/>
      <c r="AF250" s="55">
        <v>30000</v>
      </c>
      <c r="AG250" s="12">
        <f>+F250++H250++J250++L250++N250++P250++R250++T250++V250++X250++Z250++AB250++AD250+0</f>
        <v>0</v>
      </c>
      <c r="AH250" s="11">
        <f>G250+I250+K250+M250+O250+Q250+S250+U250+W250+Y250+AA250+AC250+AE250+0</f>
        <v>0</v>
      </c>
      <c r="AI250" s="6"/>
    </row>
    <row r="251" spans="1:35" x14ac:dyDescent="0.2">
      <c r="A251" s="4"/>
      <c r="B251" s="17">
        <v>243</v>
      </c>
      <c r="C251" s="41" t="s">
        <v>510</v>
      </c>
      <c r="D251" s="53"/>
      <c r="E251" s="15" t="s">
        <v>511</v>
      </c>
      <c r="F251" s="30"/>
      <c r="G251" s="31"/>
      <c r="H251" s="30"/>
      <c r="I251" s="58"/>
      <c r="J251" s="30"/>
      <c r="K251" s="58"/>
      <c r="L251" s="30"/>
      <c r="M251" s="58"/>
      <c r="N251" s="30"/>
      <c r="O251" s="58"/>
      <c r="P251" s="30"/>
      <c r="Q251" s="58"/>
      <c r="R251" s="30"/>
      <c r="S251" s="58"/>
      <c r="T251" s="30"/>
      <c r="U251" s="58"/>
      <c r="V251" s="30"/>
      <c r="W251" s="58"/>
      <c r="X251" s="30"/>
      <c r="Y251" s="58"/>
      <c r="Z251" s="30"/>
      <c r="AA251" s="58"/>
      <c r="AB251" s="30"/>
      <c r="AC251" s="58"/>
      <c r="AD251" s="30"/>
      <c r="AE251" s="58"/>
      <c r="AF251" s="55">
        <v>40000</v>
      </c>
      <c r="AG251" s="12">
        <f>+F251++H251++J251++L251++N251++P251++R251++T251++V251++X251++Z251++AB251++AD251+0</f>
        <v>0</v>
      </c>
      <c r="AH251" s="11">
        <f>G251+I251+K251+M251+O251+Q251+S251+U251+W251+Y251+AA251+AC251+AE251+0</f>
        <v>0</v>
      </c>
      <c r="AI251" s="6"/>
    </row>
    <row r="252" spans="1:35" x14ac:dyDescent="0.2">
      <c r="A252" s="4"/>
      <c r="B252" s="17">
        <v>244</v>
      </c>
      <c r="C252" s="41" t="s">
        <v>512</v>
      </c>
      <c r="D252" s="53"/>
      <c r="E252" s="15" t="s">
        <v>513</v>
      </c>
      <c r="F252" s="30"/>
      <c r="G252" s="31"/>
      <c r="H252" s="30"/>
      <c r="I252" s="58"/>
      <c r="J252" s="30"/>
      <c r="K252" s="58"/>
      <c r="L252" s="30"/>
      <c r="M252" s="58"/>
      <c r="N252" s="30"/>
      <c r="O252" s="58"/>
      <c r="P252" s="30"/>
      <c r="Q252" s="58"/>
      <c r="R252" s="30"/>
      <c r="S252" s="58"/>
      <c r="T252" s="30"/>
      <c r="U252" s="58"/>
      <c r="V252" s="30"/>
      <c r="W252" s="58"/>
      <c r="X252" s="30"/>
      <c r="Y252" s="58"/>
      <c r="Z252" s="30"/>
      <c r="AA252" s="58"/>
      <c r="AB252" s="30"/>
      <c r="AC252" s="58"/>
      <c r="AD252" s="30"/>
      <c r="AE252" s="58"/>
      <c r="AF252" s="55">
        <v>70000</v>
      </c>
      <c r="AG252" s="12">
        <f>+F252++H252++J252++L252++N252++P252++R252++T252++V252++X252++Z252++AB252++AD252+0</f>
        <v>0</v>
      </c>
      <c r="AH252" s="11">
        <f>G252+I252+K252+M252+O252+Q252+S252+U252+W252+Y252+AA252+AC252+AE252+0</f>
        <v>0</v>
      </c>
      <c r="AI252" s="6"/>
    </row>
    <row r="253" spans="1:35" x14ac:dyDescent="0.2">
      <c r="A253" s="4"/>
      <c r="B253" s="17">
        <v>245</v>
      </c>
      <c r="C253" s="41" t="s">
        <v>514</v>
      </c>
      <c r="D253" s="53"/>
      <c r="E253" s="15" t="s">
        <v>515</v>
      </c>
      <c r="F253" s="30"/>
      <c r="G253" s="31"/>
      <c r="H253" s="30"/>
      <c r="I253" s="58"/>
      <c r="J253" s="30"/>
      <c r="K253" s="58"/>
      <c r="L253" s="30"/>
      <c r="M253" s="58"/>
      <c r="N253" s="30"/>
      <c r="O253" s="58"/>
      <c r="P253" s="30"/>
      <c r="Q253" s="58"/>
      <c r="R253" s="30"/>
      <c r="S253" s="58"/>
      <c r="T253" s="30"/>
      <c r="U253" s="58"/>
      <c r="V253" s="30"/>
      <c r="W253" s="58"/>
      <c r="X253" s="30"/>
      <c r="Y253" s="58"/>
      <c r="Z253" s="30"/>
      <c r="AA253" s="58"/>
      <c r="AB253" s="30"/>
      <c r="AC253" s="58"/>
      <c r="AD253" s="30"/>
      <c r="AE253" s="58"/>
      <c r="AF253" s="55">
        <v>20000</v>
      </c>
      <c r="AG253" s="12">
        <f>+F253++H253++J253++L253++N253++P253++R253++T253++V253++X253++Z253++AB253++AD253+0</f>
        <v>0</v>
      </c>
      <c r="AH253" s="11">
        <f>G253+I253+K253+M253+O253+Q253+S253+U253+W253+Y253+AA253+AC253+AE253+0</f>
        <v>0</v>
      </c>
      <c r="AI253" s="6"/>
    </row>
    <row r="254" spans="1:35" x14ac:dyDescent="0.2">
      <c r="A254" s="4"/>
      <c r="B254" s="17">
        <v>246</v>
      </c>
      <c r="C254" s="41" t="s">
        <v>516</v>
      </c>
      <c r="D254" s="53"/>
      <c r="E254" s="15" t="s">
        <v>517</v>
      </c>
      <c r="F254" s="30"/>
      <c r="G254" s="31"/>
      <c r="H254" s="30"/>
      <c r="I254" s="58"/>
      <c r="J254" s="30"/>
      <c r="K254" s="58"/>
      <c r="L254" s="30"/>
      <c r="M254" s="58"/>
      <c r="N254" s="30"/>
      <c r="O254" s="58"/>
      <c r="P254" s="30"/>
      <c r="Q254" s="58"/>
      <c r="R254" s="30"/>
      <c r="S254" s="58"/>
      <c r="T254" s="30"/>
      <c r="U254" s="58"/>
      <c r="V254" s="30"/>
      <c r="W254" s="58"/>
      <c r="X254" s="30"/>
      <c r="Y254" s="58"/>
      <c r="Z254" s="30"/>
      <c r="AA254" s="58"/>
      <c r="AB254" s="30"/>
      <c r="AC254" s="58"/>
      <c r="AD254" s="30"/>
      <c r="AE254" s="58"/>
      <c r="AF254" s="55">
        <v>50000</v>
      </c>
      <c r="AG254" s="12">
        <f>+F254++H254++J254++L254++N254++P254++R254++T254++V254++X254++Z254++AB254++AD254+0</f>
        <v>0</v>
      </c>
      <c r="AH254" s="11">
        <f>G254+I254+K254+M254+O254+Q254+S254+U254+W254+Y254+AA254+AC254+AE254+0</f>
        <v>0</v>
      </c>
      <c r="AI254" s="6"/>
    </row>
    <row r="255" spans="1:35" x14ac:dyDescent="0.2">
      <c r="A255" s="4"/>
      <c r="B255" s="17">
        <v>247</v>
      </c>
      <c r="C255" s="41" t="s">
        <v>518</v>
      </c>
      <c r="D255" s="53"/>
      <c r="E255" s="15" t="s">
        <v>519</v>
      </c>
      <c r="F255" s="30"/>
      <c r="G255" s="31"/>
      <c r="H255" s="30"/>
      <c r="I255" s="58"/>
      <c r="J255" s="30"/>
      <c r="K255" s="58"/>
      <c r="L255" s="30"/>
      <c r="M255" s="58"/>
      <c r="N255" s="30"/>
      <c r="O255" s="58"/>
      <c r="P255" s="30"/>
      <c r="Q255" s="58"/>
      <c r="R255" s="30"/>
      <c r="S255" s="58"/>
      <c r="T255" s="30"/>
      <c r="U255" s="58"/>
      <c r="V255" s="30"/>
      <c r="W255" s="58"/>
      <c r="X255" s="30"/>
      <c r="Y255" s="58"/>
      <c r="Z255" s="30"/>
      <c r="AA255" s="58"/>
      <c r="AB255" s="30"/>
      <c r="AC255" s="58"/>
      <c r="AD255" s="30"/>
      <c r="AE255" s="58"/>
      <c r="AF255" s="55">
        <v>150000</v>
      </c>
      <c r="AG255" s="12">
        <f>+F255++H255++J255++L255++N255++P255++R255++T255++V255++X255++Z255++AB255++AD255+0</f>
        <v>0</v>
      </c>
      <c r="AH255" s="11">
        <f>G255+I255+K255+M255+O255+Q255+S255+U255+W255+Y255+AA255+AC255+AE255+0</f>
        <v>0</v>
      </c>
      <c r="AI255" s="6"/>
    </row>
    <row r="256" spans="1:35" x14ac:dyDescent="0.2">
      <c r="A256" s="4"/>
      <c r="B256" s="17">
        <v>248</v>
      </c>
      <c r="C256" s="41" t="s">
        <v>520</v>
      </c>
      <c r="D256" s="53"/>
      <c r="E256" s="15" t="s">
        <v>521</v>
      </c>
      <c r="F256" s="30"/>
      <c r="G256" s="31"/>
      <c r="H256" s="30"/>
      <c r="I256" s="58"/>
      <c r="J256" s="30"/>
      <c r="K256" s="58"/>
      <c r="L256" s="30"/>
      <c r="M256" s="58"/>
      <c r="N256" s="30"/>
      <c r="O256" s="58"/>
      <c r="P256" s="30"/>
      <c r="Q256" s="58"/>
      <c r="R256" s="30"/>
      <c r="S256" s="58"/>
      <c r="T256" s="30"/>
      <c r="U256" s="58"/>
      <c r="V256" s="30"/>
      <c r="W256" s="58"/>
      <c r="X256" s="30"/>
      <c r="Y256" s="58"/>
      <c r="Z256" s="30"/>
      <c r="AA256" s="58"/>
      <c r="AB256" s="30"/>
      <c r="AC256" s="58"/>
      <c r="AD256" s="30"/>
      <c r="AE256" s="58"/>
      <c r="AF256" s="55">
        <v>60000</v>
      </c>
      <c r="AG256" s="12">
        <f>+F256++H256++J256++L256++N256++P256++R256++T256++V256++X256++Z256++AB256++AD256+0</f>
        <v>0</v>
      </c>
      <c r="AH256" s="11">
        <f>G256+I256+K256+M256+O256+Q256+S256+U256+W256+Y256+AA256+AC256+AE256+0</f>
        <v>0</v>
      </c>
      <c r="AI256" s="6"/>
    </row>
    <row r="257" spans="1:35" x14ac:dyDescent="0.2">
      <c r="A257" s="4"/>
      <c r="B257" s="17">
        <v>249</v>
      </c>
      <c r="C257" s="41" t="s">
        <v>522</v>
      </c>
      <c r="D257" s="53"/>
      <c r="E257" s="15" t="s">
        <v>523</v>
      </c>
      <c r="F257" s="30"/>
      <c r="G257" s="31"/>
      <c r="H257" s="30"/>
      <c r="I257" s="58"/>
      <c r="J257" s="30"/>
      <c r="K257" s="58"/>
      <c r="L257" s="30"/>
      <c r="M257" s="58"/>
      <c r="N257" s="30"/>
      <c r="O257" s="58"/>
      <c r="P257" s="30"/>
      <c r="Q257" s="58"/>
      <c r="R257" s="30"/>
      <c r="S257" s="58"/>
      <c r="T257" s="30"/>
      <c r="U257" s="58"/>
      <c r="V257" s="30"/>
      <c r="W257" s="58"/>
      <c r="X257" s="30"/>
      <c r="Y257" s="58"/>
      <c r="Z257" s="30"/>
      <c r="AA257" s="58"/>
      <c r="AB257" s="30"/>
      <c r="AC257" s="58"/>
      <c r="AD257" s="30"/>
      <c r="AE257" s="58"/>
      <c r="AF257" s="55">
        <v>50000</v>
      </c>
      <c r="AG257" s="12">
        <f>+F257++H257++J257++L257++N257++P257++R257++T257++V257++X257++Z257++AB257++AD257+0</f>
        <v>0</v>
      </c>
      <c r="AH257" s="11">
        <f>G257+I257+K257+M257+O257+Q257+S257+U257+W257+Y257+AA257+AC257+AE257+0</f>
        <v>0</v>
      </c>
      <c r="AI257" s="6"/>
    </row>
    <row r="258" spans="1:35" x14ac:dyDescent="0.2">
      <c r="A258" s="4"/>
      <c r="B258" s="17">
        <v>250</v>
      </c>
      <c r="C258" s="41" t="s">
        <v>524</v>
      </c>
      <c r="D258" s="53"/>
      <c r="E258" s="15" t="s">
        <v>525</v>
      </c>
      <c r="F258" s="30"/>
      <c r="G258" s="31"/>
      <c r="H258" s="30"/>
      <c r="I258" s="58"/>
      <c r="J258" s="30"/>
      <c r="K258" s="58"/>
      <c r="L258" s="30"/>
      <c r="M258" s="58"/>
      <c r="N258" s="30"/>
      <c r="O258" s="58"/>
      <c r="P258" s="30"/>
      <c r="Q258" s="58"/>
      <c r="R258" s="30"/>
      <c r="S258" s="58"/>
      <c r="T258" s="30"/>
      <c r="U258" s="58"/>
      <c r="V258" s="30"/>
      <c r="W258" s="58"/>
      <c r="X258" s="30"/>
      <c r="Y258" s="58"/>
      <c r="Z258" s="30"/>
      <c r="AA258" s="58"/>
      <c r="AB258" s="30"/>
      <c r="AC258" s="58"/>
      <c r="AD258" s="30"/>
      <c r="AE258" s="58"/>
      <c r="AF258" s="55">
        <v>100000</v>
      </c>
      <c r="AG258" s="12">
        <f>+F258++H258++J258++L258++N258++P258++R258++T258++V258++X258++Z258++AB258++AD258+0</f>
        <v>0</v>
      </c>
      <c r="AH258" s="11">
        <f>G258+I258+K258+M258+O258+Q258+S258+U258+W258+Y258+AA258+AC258+AE258+0</f>
        <v>0</v>
      </c>
      <c r="AI258" s="6"/>
    </row>
    <row r="259" spans="1:35" x14ac:dyDescent="0.2">
      <c r="A259" s="4"/>
      <c r="B259" s="17">
        <v>251</v>
      </c>
      <c r="C259" s="41" t="s">
        <v>526</v>
      </c>
      <c r="D259" s="53"/>
      <c r="E259" s="15" t="s">
        <v>527</v>
      </c>
      <c r="F259" s="30"/>
      <c r="G259" s="31"/>
      <c r="H259" s="30"/>
      <c r="I259" s="58"/>
      <c r="J259" s="30"/>
      <c r="K259" s="58"/>
      <c r="L259" s="30"/>
      <c r="M259" s="58"/>
      <c r="N259" s="30"/>
      <c r="O259" s="58"/>
      <c r="P259" s="30"/>
      <c r="Q259" s="58"/>
      <c r="R259" s="30"/>
      <c r="S259" s="58"/>
      <c r="T259" s="30"/>
      <c r="U259" s="58"/>
      <c r="V259" s="30"/>
      <c r="W259" s="58"/>
      <c r="X259" s="30"/>
      <c r="Y259" s="58"/>
      <c r="Z259" s="30"/>
      <c r="AA259" s="58"/>
      <c r="AB259" s="30"/>
      <c r="AC259" s="58"/>
      <c r="AD259" s="30"/>
      <c r="AE259" s="58"/>
      <c r="AF259" s="55">
        <v>10000</v>
      </c>
      <c r="AG259" s="12">
        <f>+F259++H259++J259++L259++N259++P259++R259++T259++V259++X259++Z259++AB259++AD259+0</f>
        <v>0</v>
      </c>
      <c r="AH259" s="11">
        <f>G259+I259+K259+M259+O259+Q259+S259+U259+W259+Y259+AA259+AC259+AE259+0</f>
        <v>0</v>
      </c>
      <c r="AI259" s="6"/>
    </row>
    <row r="260" spans="1:35" x14ac:dyDescent="0.2">
      <c r="A260" s="4"/>
      <c r="B260" s="17">
        <v>252</v>
      </c>
      <c r="C260" s="41" t="s">
        <v>528</v>
      </c>
      <c r="D260" s="53"/>
      <c r="E260" s="15" t="s">
        <v>529</v>
      </c>
      <c r="F260" s="30"/>
      <c r="G260" s="31"/>
      <c r="H260" s="30"/>
      <c r="I260" s="58"/>
      <c r="J260" s="30"/>
      <c r="K260" s="58"/>
      <c r="L260" s="30"/>
      <c r="M260" s="58"/>
      <c r="N260" s="30"/>
      <c r="O260" s="58"/>
      <c r="P260" s="30"/>
      <c r="Q260" s="58"/>
      <c r="R260" s="30"/>
      <c r="S260" s="58"/>
      <c r="T260" s="30"/>
      <c r="U260" s="58"/>
      <c r="V260" s="30"/>
      <c r="W260" s="58"/>
      <c r="X260" s="30"/>
      <c r="Y260" s="58"/>
      <c r="Z260" s="30"/>
      <c r="AA260" s="58"/>
      <c r="AB260" s="30"/>
      <c r="AC260" s="58"/>
      <c r="AD260" s="30"/>
      <c r="AE260" s="58"/>
      <c r="AF260" s="55">
        <v>50000</v>
      </c>
      <c r="AG260" s="12">
        <f>+F260++H260++J260++L260++N260++P260++R260++T260++V260++X260++Z260++AB260++AD260+0</f>
        <v>0</v>
      </c>
      <c r="AH260" s="11">
        <f>G260+I260+K260+M260+O260+Q260+S260+U260+W260+Y260+AA260+AC260+AE260+0</f>
        <v>0</v>
      </c>
      <c r="AI260" s="6"/>
    </row>
    <row r="261" spans="1:35" x14ac:dyDescent="0.2">
      <c r="A261" s="4"/>
      <c r="B261" s="17">
        <v>253</v>
      </c>
      <c r="C261" s="41" t="s">
        <v>530</v>
      </c>
      <c r="D261" s="53"/>
      <c r="E261" s="15" t="s">
        <v>531</v>
      </c>
      <c r="F261" s="30"/>
      <c r="G261" s="31"/>
      <c r="H261" s="30"/>
      <c r="I261" s="58"/>
      <c r="J261" s="30"/>
      <c r="K261" s="58"/>
      <c r="L261" s="30"/>
      <c r="M261" s="58"/>
      <c r="N261" s="30"/>
      <c r="O261" s="58"/>
      <c r="P261" s="30"/>
      <c r="Q261" s="58"/>
      <c r="R261" s="30"/>
      <c r="S261" s="58"/>
      <c r="T261" s="30"/>
      <c r="U261" s="58"/>
      <c r="V261" s="30"/>
      <c r="W261" s="58"/>
      <c r="X261" s="30"/>
      <c r="Y261" s="58"/>
      <c r="Z261" s="30"/>
      <c r="AA261" s="58"/>
      <c r="AB261" s="30"/>
      <c r="AC261" s="58"/>
      <c r="AD261" s="30"/>
      <c r="AE261" s="58"/>
      <c r="AF261" s="55">
        <v>100000</v>
      </c>
      <c r="AG261" s="12">
        <f>+F261++H261++J261++L261++N261++P261++R261++T261++V261++X261++Z261++AB261++AD261+0</f>
        <v>0</v>
      </c>
      <c r="AH261" s="11">
        <f>G261+I261+K261+M261+O261+Q261+S261+U261+W261+Y261+AA261+AC261+AE261+0</f>
        <v>0</v>
      </c>
      <c r="AI261" s="6"/>
    </row>
    <row r="262" spans="1:35" x14ac:dyDescent="0.2">
      <c r="A262" s="4"/>
      <c r="B262" s="17">
        <v>254</v>
      </c>
      <c r="C262" s="41" t="s">
        <v>532</v>
      </c>
      <c r="D262" s="53"/>
      <c r="E262" s="15" t="s">
        <v>533</v>
      </c>
      <c r="F262" s="30"/>
      <c r="G262" s="31"/>
      <c r="H262" s="30"/>
      <c r="I262" s="58"/>
      <c r="J262" s="30"/>
      <c r="K262" s="58"/>
      <c r="L262" s="30"/>
      <c r="M262" s="58"/>
      <c r="N262" s="30"/>
      <c r="O262" s="58"/>
      <c r="P262" s="30"/>
      <c r="Q262" s="58"/>
      <c r="R262" s="30"/>
      <c r="S262" s="58"/>
      <c r="T262" s="30"/>
      <c r="U262" s="58"/>
      <c r="V262" s="30"/>
      <c r="W262" s="58"/>
      <c r="X262" s="30"/>
      <c r="Y262" s="58"/>
      <c r="Z262" s="30"/>
      <c r="AA262" s="58"/>
      <c r="AB262" s="30"/>
      <c r="AC262" s="58"/>
      <c r="AD262" s="30"/>
      <c r="AE262" s="58"/>
      <c r="AF262" s="55">
        <v>10000</v>
      </c>
      <c r="AG262" s="12">
        <f>+F262++H262++J262++L262++N262++P262++R262++T262++V262++X262++Z262++AB262++AD262+0</f>
        <v>0</v>
      </c>
      <c r="AH262" s="11">
        <f>G262+I262+K262+M262+O262+Q262+S262+U262+W262+Y262+AA262+AC262+AE262+0</f>
        <v>0</v>
      </c>
      <c r="AI262" s="6"/>
    </row>
    <row r="263" spans="1:35" x14ac:dyDescent="0.2">
      <c r="A263" s="4"/>
      <c r="B263" s="17">
        <v>255</v>
      </c>
      <c r="C263" s="41" t="s">
        <v>534</v>
      </c>
      <c r="D263" s="53"/>
      <c r="E263" s="15" t="s">
        <v>535</v>
      </c>
      <c r="F263" s="30"/>
      <c r="G263" s="31"/>
      <c r="H263" s="30"/>
      <c r="I263" s="58"/>
      <c r="J263" s="30"/>
      <c r="K263" s="58"/>
      <c r="L263" s="30"/>
      <c r="M263" s="58"/>
      <c r="N263" s="30"/>
      <c r="O263" s="58"/>
      <c r="P263" s="30"/>
      <c r="Q263" s="58"/>
      <c r="R263" s="30"/>
      <c r="S263" s="58"/>
      <c r="T263" s="30"/>
      <c r="U263" s="58"/>
      <c r="V263" s="30"/>
      <c r="W263" s="58"/>
      <c r="X263" s="30"/>
      <c r="Y263" s="58"/>
      <c r="Z263" s="30"/>
      <c r="AA263" s="58"/>
      <c r="AB263" s="30"/>
      <c r="AC263" s="58"/>
      <c r="AD263" s="30"/>
      <c r="AE263" s="58"/>
      <c r="AF263" s="55">
        <v>10000</v>
      </c>
      <c r="AG263" s="12">
        <f>+F263++H263++J263++L263++N263++P263++R263++T263++V263++X263++Z263++AB263++AD263+0</f>
        <v>0</v>
      </c>
      <c r="AH263" s="11">
        <f>G263+I263+K263+M263+O263+Q263+S263+U263+W263+Y263+AA263+AC263+AE263+0</f>
        <v>0</v>
      </c>
      <c r="AI263" s="6"/>
    </row>
    <row r="264" spans="1:35" x14ac:dyDescent="0.2">
      <c r="A264" s="4"/>
      <c r="B264" s="17">
        <v>256</v>
      </c>
      <c r="C264" s="41" t="s">
        <v>536</v>
      </c>
      <c r="D264" s="53"/>
      <c r="E264" s="15" t="s">
        <v>537</v>
      </c>
      <c r="F264" s="30"/>
      <c r="G264" s="31"/>
      <c r="H264" s="30"/>
      <c r="I264" s="58"/>
      <c r="J264" s="30"/>
      <c r="K264" s="58"/>
      <c r="L264" s="30"/>
      <c r="M264" s="58"/>
      <c r="N264" s="30"/>
      <c r="O264" s="58"/>
      <c r="P264" s="30"/>
      <c r="Q264" s="58"/>
      <c r="R264" s="30"/>
      <c r="S264" s="58"/>
      <c r="T264" s="30"/>
      <c r="U264" s="58"/>
      <c r="V264" s="30"/>
      <c r="W264" s="58"/>
      <c r="X264" s="30"/>
      <c r="Y264" s="58"/>
      <c r="Z264" s="30"/>
      <c r="AA264" s="58"/>
      <c r="AB264" s="30"/>
      <c r="AC264" s="58"/>
      <c r="AD264" s="30"/>
      <c r="AE264" s="58"/>
      <c r="AF264" s="55">
        <v>200000</v>
      </c>
      <c r="AG264" s="12">
        <f>+F264++H264++J264++L264++N264++P264++R264++T264++V264++X264++Z264++AB264++AD264+0</f>
        <v>0</v>
      </c>
      <c r="AH264" s="11">
        <f>G264+I264+K264+M264+O264+Q264+S264+U264+W264+Y264+AA264+AC264+AE264+0</f>
        <v>0</v>
      </c>
      <c r="AI264" s="6"/>
    </row>
    <row r="265" spans="1:35" x14ac:dyDescent="0.2">
      <c r="A265" s="4"/>
      <c r="B265" s="17">
        <v>257</v>
      </c>
      <c r="C265" s="41" t="s">
        <v>538</v>
      </c>
      <c r="D265" s="53"/>
      <c r="E265" s="15" t="s">
        <v>539</v>
      </c>
      <c r="F265" s="30"/>
      <c r="G265" s="31"/>
      <c r="H265" s="30"/>
      <c r="I265" s="58"/>
      <c r="J265" s="30"/>
      <c r="K265" s="58"/>
      <c r="L265" s="30"/>
      <c r="M265" s="58"/>
      <c r="N265" s="30"/>
      <c r="O265" s="58"/>
      <c r="P265" s="30"/>
      <c r="Q265" s="58"/>
      <c r="R265" s="30"/>
      <c r="S265" s="58"/>
      <c r="T265" s="30"/>
      <c r="U265" s="58"/>
      <c r="V265" s="30"/>
      <c r="W265" s="58"/>
      <c r="X265" s="30"/>
      <c r="Y265" s="58"/>
      <c r="Z265" s="30"/>
      <c r="AA265" s="58"/>
      <c r="AB265" s="30"/>
      <c r="AC265" s="58"/>
      <c r="AD265" s="30"/>
      <c r="AE265" s="58"/>
      <c r="AF265" s="55">
        <v>40000</v>
      </c>
      <c r="AG265" s="12">
        <f>+F265++H265++J265++L265++N265++P265++R265++T265++V265++X265++Z265++AB265++AD265+0</f>
        <v>0</v>
      </c>
      <c r="AH265" s="11">
        <f>G265+I265+K265+M265+O265+Q265+S265+U265+W265+Y265+AA265+AC265+AE265+0</f>
        <v>0</v>
      </c>
      <c r="AI265" s="6"/>
    </row>
    <row r="266" spans="1:35" x14ac:dyDescent="0.2">
      <c r="A266" s="4"/>
      <c r="B266" s="17">
        <v>258</v>
      </c>
      <c r="C266" s="41" t="s">
        <v>540</v>
      </c>
      <c r="D266" s="53"/>
      <c r="E266" s="15" t="s">
        <v>541</v>
      </c>
      <c r="F266" s="30"/>
      <c r="G266" s="31"/>
      <c r="H266" s="30"/>
      <c r="I266" s="58"/>
      <c r="J266" s="30"/>
      <c r="K266" s="58"/>
      <c r="L266" s="30"/>
      <c r="M266" s="58"/>
      <c r="N266" s="30"/>
      <c r="O266" s="58"/>
      <c r="P266" s="30"/>
      <c r="Q266" s="58"/>
      <c r="R266" s="30"/>
      <c r="S266" s="58"/>
      <c r="T266" s="30"/>
      <c r="U266" s="58"/>
      <c r="V266" s="30"/>
      <c r="W266" s="58"/>
      <c r="X266" s="30"/>
      <c r="Y266" s="58"/>
      <c r="Z266" s="30"/>
      <c r="AA266" s="58"/>
      <c r="AB266" s="30"/>
      <c r="AC266" s="58"/>
      <c r="AD266" s="30"/>
      <c r="AE266" s="58"/>
      <c r="AF266" s="55">
        <v>50000</v>
      </c>
      <c r="AG266" s="12">
        <f>+F266++H266++J266++L266++N266++P266++R266++T266++V266++X266++Z266++AB266++AD266+0</f>
        <v>0</v>
      </c>
      <c r="AH266" s="11">
        <f>G266+I266+K266+M266+O266+Q266+S266+U266+W266+Y266+AA266+AC266+AE266+0</f>
        <v>0</v>
      </c>
      <c r="AI266" s="6"/>
    </row>
    <row r="267" spans="1:35" x14ac:dyDescent="0.2">
      <c r="A267" s="4"/>
      <c r="B267" s="17">
        <v>259</v>
      </c>
      <c r="C267" s="41" t="s">
        <v>542</v>
      </c>
      <c r="D267" s="53"/>
      <c r="E267" s="15" t="s">
        <v>543</v>
      </c>
      <c r="F267" s="30"/>
      <c r="G267" s="31"/>
      <c r="H267" s="30"/>
      <c r="I267" s="58"/>
      <c r="J267" s="30"/>
      <c r="K267" s="58"/>
      <c r="L267" s="30"/>
      <c r="M267" s="58"/>
      <c r="N267" s="30"/>
      <c r="O267" s="58"/>
      <c r="P267" s="30"/>
      <c r="Q267" s="58"/>
      <c r="R267" s="30"/>
      <c r="S267" s="58"/>
      <c r="T267" s="30"/>
      <c r="U267" s="58"/>
      <c r="V267" s="30"/>
      <c r="W267" s="58"/>
      <c r="X267" s="30"/>
      <c r="Y267" s="58"/>
      <c r="Z267" s="30"/>
      <c r="AA267" s="58"/>
      <c r="AB267" s="30"/>
      <c r="AC267" s="58"/>
      <c r="AD267" s="30"/>
      <c r="AE267" s="58"/>
      <c r="AF267" s="55">
        <v>20000</v>
      </c>
      <c r="AG267" s="12">
        <f>+F267++H267++J267++L267++N267++P267++R267++T267++V267++X267++Z267++AB267++AD267+0</f>
        <v>0</v>
      </c>
      <c r="AH267" s="11">
        <f>G267+I267+K267+M267+O267+Q267+S267+U267+W267+Y267+AA267+AC267+AE267+0</f>
        <v>0</v>
      </c>
      <c r="AI267" s="6"/>
    </row>
    <row r="268" spans="1:35" x14ac:dyDescent="0.2">
      <c r="A268" s="4"/>
      <c r="B268" s="17">
        <v>260</v>
      </c>
      <c r="C268" s="41" t="s">
        <v>544</v>
      </c>
      <c r="D268" s="53"/>
      <c r="E268" s="15" t="s">
        <v>545</v>
      </c>
      <c r="F268" s="30"/>
      <c r="G268" s="31"/>
      <c r="H268" s="30"/>
      <c r="I268" s="58"/>
      <c r="J268" s="30"/>
      <c r="K268" s="58"/>
      <c r="L268" s="30"/>
      <c r="M268" s="58"/>
      <c r="N268" s="30"/>
      <c r="O268" s="58"/>
      <c r="P268" s="30"/>
      <c r="Q268" s="58"/>
      <c r="R268" s="30"/>
      <c r="S268" s="58"/>
      <c r="T268" s="30"/>
      <c r="U268" s="58"/>
      <c r="V268" s="30"/>
      <c r="W268" s="58"/>
      <c r="X268" s="30"/>
      <c r="Y268" s="58"/>
      <c r="Z268" s="30"/>
      <c r="AA268" s="58"/>
      <c r="AB268" s="30"/>
      <c r="AC268" s="58"/>
      <c r="AD268" s="30"/>
      <c r="AE268" s="58"/>
      <c r="AF268" s="55">
        <v>146000</v>
      </c>
      <c r="AG268" s="12">
        <f>+F268++H268++J268++L268++N268++P268++R268++T268++V268++X268++Z268++AB268++AD268+0</f>
        <v>0</v>
      </c>
      <c r="AH268" s="11">
        <f>G268+I268+K268+M268+O268+Q268+S268+U268+W268+Y268+AA268+AC268+AE268+0</f>
        <v>0</v>
      </c>
      <c r="AI268" s="6"/>
    </row>
    <row r="269" spans="1:35" x14ac:dyDescent="0.2">
      <c r="A269" s="4"/>
      <c r="B269" s="17">
        <v>261</v>
      </c>
      <c r="C269" s="41" t="s">
        <v>546</v>
      </c>
      <c r="D269" s="53"/>
      <c r="E269" s="15" t="s">
        <v>547</v>
      </c>
      <c r="F269" s="30"/>
      <c r="G269" s="31"/>
      <c r="H269" s="30"/>
      <c r="I269" s="58"/>
      <c r="J269" s="30"/>
      <c r="K269" s="58"/>
      <c r="L269" s="30"/>
      <c r="M269" s="58"/>
      <c r="N269" s="30"/>
      <c r="O269" s="58"/>
      <c r="P269" s="30"/>
      <c r="Q269" s="58"/>
      <c r="R269" s="30"/>
      <c r="S269" s="58"/>
      <c r="T269" s="30"/>
      <c r="U269" s="58"/>
      <c r="V269" s="30"/>
      <c r="W269" s="58"/>
      <c r="X269" s="30"/>
      <c r="Y269" s="58"/>
      <c r="Z269" s="30"/>
      <c r="AA269" s="58"/>
      <c r="AB269" s="30"/>
      <c r="AC269" s="58"/>
      <c r="AD269" s="30"/>
      <c r="AE269" s="58"/>
      <c r="AF269" s="55">
        <v>21960</v>
      </c>
      <c r="AG269" s="12">
        <f>+F269++H269++J269++L269++N269++P269++R269++T269++V269++X269++Z269++AB269++AD269+0</f>
        <v>0</v>
      </c>
      <c r="AH269" s="11">
        <f>G269+I269+K269+M269+O269+Q269+S269+U269+W269+Y269+AA269+AC269+AE269+0</f>
        <v>0</v>
      </c>
      <c r="AI269" s="6"/>
    </row>
    <row r="270" spans="1:35" x14ac:dyDescent="0.2">
      <c r="A270" s="4"/>
      <c r="B270" s="17">
        <v>262</v>
      </c>
      <c r="C270" s="41" t="s">
        <v>548</v>
      </c>
      <c r="D270" s="53"/>
      <c r="E270" s="15" t="s">
        <v>549</v>
      </c>
      <c r="F270" s="30"/>
      <c r="G270" s="31"/>
      <c r="H270" s="30"/>
      <c r="I270" s="58"/>
      <c r="J270" s="30"/>
      <c r="K270" s="58"/>
      <c r="L270" s="30"/>
      <c r="M270" s="58"/>
      <c r="N270" s="30"/>
      <c r="O270" s="58"/>
      <c r="P270" s="30"/>
      <c r="Q270" s="58"/>
      <c r="R270" s="30"/>
      <c r="S270" s="58"/>
      <c r="T270" s="30"/>
      <c r="U270" s="58"/>
      <c r="V270" s="30"/>
      <c r="W270" s="58"/>
      <c r="X270" s="30"/>
      <c r="Y270" s="58"/>
      <c r="Z270" s="30"/>
      <c r="AA270" s="58"/>
      <c r="AB270" s="30"/>
      <c r="AC270" s="58"/>
      <c r="AD270" s="30"/>
      <c r="AE270" s="58"/>
      <c r="AF270" s="55">
        <v>45000</v>
      </c>
      <c r="AG270" s="12">
        <f>+F270++H270++J270++L270++N270++P270++R270++T270++V270++X270++Z270++AB270++AD270+0</f>
        <v>0</v>
      </c>
      <c r="AH270" s="11">
        <f>G270+I270+K270+M270+O270+Q270+S270+U270+W270+Y270+AA270+AC270+AE270+0</f>
        <v>0</v>
      </c>
      <c r="AI270" s="6"/>
    </row>
    <row r="271" spans="1:35" x14ac:dyDescent="0.2">
      <c r="A271" s="4"/>
      <c r="B271" s="17">
        <v>263</v>
      </c>
      <c r="C271" s="41" t="s">
        <v>550</v>
      </c>
      <c r="D271" s="53"/>
      <c r="E271" s="15" t="s">
        <v>551</v>
      </c>
      <c r="F271" s="30"/>
      <c r="G271" s="31"/>
      <c r="H271" s="30"/>
      <c r="I271" s="58"/>
      <c r="J271" s="30"/>
      <c r="K271" s="58"/>
      <c r="L271" s="30"/>
      <c r="M271" s="58"/>
      <c r="N271" s="30"/>
      <c r="O271" s="58"/>
      <c r="P271" s="30"/>
      <c r="Q271" s="58"/>
      <c r="R271" s="30"/>
      <c r="S271" s="58"/>
      <c r="T271" s="30"/>
      <c r="U271" s="58"/>
      <c r="V271" s="30"/>
      <c r="W271" s="58"/>
      <c r="X271" s="30"/>
      <c r="Y271" s="58"/>
      <c r="Z271" s="30"/>
      <c r="AA271" s="58"/>
      <c r="AB271" s="30"/>
      <c r="AC271" s="58"/>
      <c r="AD271" s="30"/>
      <c r="AE271" s="58"/>
      <c r="AF271" s="55">
        <v>40000</v>
      </c>
      <c r="AG271" s="12">
        <f>+F271++H271++J271++L271++N271++P271++R271++T271++V271++X271++Z271++AB271++AD271+0</f>
        <v>0</v>
      </c>
      <c r="AH271" s="11">
        <f>G271+I271+K271+M271+O271+Q271+S271+U271+W271+Y271+AA271+AC271+AE271+0</f>
        <v>0</v>
      </c>
      <c r="AI271" s="6"/>
    </row>
    <row r="272" spans="1:35" x14ac:dyDescent="0.2">
      <c r="A272" s="4"/>
      <c r="B272" s="17">
        <v>264</v>
      </c>
      <c r="C272" s="41" t="s">
        <v>552</v>
      </c>
      <c r="D272" s="53"/>
      <c r="E272" s="15" t="s">
        <v>553</v>
      </c>
      <c r="F272" s="30"/>
      <c r="G272" s="31"/>
      <c r="H272" s="30"/>
      <c r="I272" s="58"/>
      <c r="J272" s="30"/>
      <c r="K272" s="58"/>
      <c r="L272" s="30"/>
      <c r="M272" s="58"/>
      <c r="N272" s="30"/>
      <c r="O272" s="58"/>
      <c r="P272" s="30"/>
      <c r="Q272" s="58"/>
      <c r="R272" s="30"/>
      <c r="S272" s="58"/>
      <c r="T272" s="30"/>
      <c r="U272" s="58"/>
      <c r="V272" s="30"/>
      <c r="W272" s="58"/>
      <c r="X272" s="30"/>
      <c r="Y272" s="58"/>
      <c r="Z272" s="30"/>
      <c r="AA272" s="58"/>
      <c r="AB272" s="30"/>
      <c r="AC272" s="58"/>
      <c r="AD272" s="30"/>
      <c r="AE272" s="58"/>
      <c r="AF272" s="55">
        <v>65000</v>
      </c>
      <c r="AG272" s="12">
        <f>+F272++H272++J272++L272++N272++P272++R272++T272++V272++X272++Z272++AB272++AD272+0</f>
        <v>0</v>
      </c>
      <c r="AH272" s="11">
        <f>G272+I272+K272+M272+O272+Q272+S272+U272+W272+Y272+AA272+AC272+AE272+0</f>
        <v>0</v>
      </c>
      <c r="AI272" s="6"/>
    </row>
    <row r="273" spans="1:35" x14ac:dyDescent="0.2">
      <c r="A273" s="4"/>
      <c r="B273" s="17">
        <v>265</v>
      </c>
      <c r="C273" s="41" t="s">
        <v>554</v>
      </c>
      <c r="D273" s="53"/>
      <c r="E273" s="15" t="s">
        <v>555</v>
      </c>
      <c r="F273" s="30"/>
      <c r="G273" s="31"/>
      <c r="H273" s="30"/>
      <c r="I273" s="58"/>
      <c r="J273" s="30"/>
      <c r="K273" s="58"/>
      <c r="L273" s="30"/>
      <c r="M273" s="58"/>
      <c r="N273" s="30"/>
      <c r="O273" s="58"/>
      <c r="P273" s="30"/>
      <c r="Q273" s="58"/>
      <c r="R273" s="30"/>
      <c r="S273" s="58"/>
      <c r="T273" s="30"/>
      <c r="U273" s="58"/>
      <c r="V273" s="30"/>
      <c r="W273" s="58"/>
      <c r="X273" s="30"/>
      <c r="Y273" s="58"/>
      <c r="Z273" s="30"/>
      <c r="AA273" s="58"/>
      <c r="AB273" s="30"/>
      <c r="AC273" s="58"/>
      <c r="AD273" s="30"/>
      <c r="AE273" s="58"/>
      <c r="AF273" s="55">
        <v>40000</v>
      </c>
      <c r="AG273" s="12">
        <f>+F273++H273++J273++L273++N273++P273++R273++T273++V273++X273++Z273++AB273++AD273+0</f>
        <v>0</v>
      </c>
      <c r="AH273" s="11">
        <f>G273+I273+K273+M273+O273+Q273+S273+U273+W273+Y273+AA273+AC273+AE273+0</f>
        <v>0</v>
      </c>
      <c r="AI273" s="6"/>
    </row>
    <row r="274" spans="1:35" x14ac:dyDescent="0.2">
      <c r="A274" s="4"/>
      <c r="B274" s="17">
        <v>266</v>
      </c>
      <c r="C274" s="41" t="s">
        <v>556</v>
      </c>
      <c r="D274" s="53"/>
      <c r="E274" s="15" t="s">
        <v>557</v>
      </c>
      <c r="F274" s="30"/>
      <c r="G274" s="31"/>
      <c r="H274" s="30"/>
      <c r="I274" s="58"/>
      <c r="J274" s="30"/>
      <c r="K274" s="58"/>
      <c r="L274" s="30"/>
      <c r="M274" s="58"/>
      <c r="N274" s="30"/>
      <c r="O274" s="58"/>
      <c r="P274" s="30"/>
      <c r="Q274" s="58"/>
      <c r="R274" s="30"/>
      <c r="S274" s="58"/>
      <c r="T274" s="30"/>
      <c r="U274" s="58"/>
      <c r="V274" s="30"/>
      <c r="W274" s="58"/>
      <c r="X274" s="30"/>
      <c r="Y274" s="58"/>
      <c r="Z274" s="30"/>
      <c r="AA274" s="58"/>
      <c r="AB274" s="30"/>
      <c r="AC274" s="58"/>
      <c r="AD274" s="30"/>
      <c r="AE274" s="58"/>
      <c r="AF274" s="55">
        <v>100000</v>
      </c>
      <c r="AG274" s="12">
        <f>+F274++H274++J274++L274++N274++P274++R274++T274++V274++X274++Z274++AB274++AD274+0</f>
        <v>0</v>
      </c>
      <c r="AH274" s="11">
        <f>G274+I274+K274+M274+O274+Q274+S274+U274+W274+Y274+AA274+AC274+AE274+0</f>
        <v>0</v>
      </c>
      <c r="AI274" s="6"/>
    </row>
    <row r="275" spans="1:35" x14ac:dyDescent="0.2">
      <c r="A275" s="4"/>
      <c r="B275" s="17">
        <v>267</v>
      </c>
      <c r="C275" s="41" t="s">
        <v>558</v>
      </c>
      <c r="D275" s="53"/>
      <c r="E275" s="15" t="s">
        <v>559</v>
      </c>
      <c r="F275" s="30"/>
      <c r="G275" s="31"/>
      <c r="H275" s="30"/>
      <c r="I275" s="58"/>
      <c r="J275" s="30"/>
      <c r="K275" s="58"/>
      <c r="L275" s="30"/>
      <c r="M275" s="58"/>
      <c r="N275" s="30"/>
      <c r="O275" s="58"/>
      <c r="P275" s="30"/>
      <c r="Q275" s="58"/>
      <c r="R275" s="30"/>
      <c r="S275" s="58"/>
      <c r="T275" s="30"/>
      <c r="U275" s="58"/>
      <c r="V275" s="30"/>
      <c r="W275" s="58"/>
      <c r="X275" s="30"/>
      <c r="Y275" s="58"/>
      <c r="Z275" s="30"/>
      <c r="AA275" s="58"/>
      <c r="AB275" s="30"/>
      <c r="AC275" s="58"/>
      <c r="AD275" s="30"/>
      <c r="AE275" s="58"/>
      <c r="AF275" s="55">
        <v>60000</v>
      </c>
      <c r="AG275" s="12">
        <f>+F275++H275++J275++L275++N275++P275++R275++T275++V275++X275++Z275++AB275++AD275+0</f>
        <v>0</v>
      </c>
      <c r="AH275" s="11">
        <f>G275+I275+K275+M275+O275+Q275+S275+U275+W275+Y275+AA275+AC275+AE275+0</f>
        <v>0</v>
      </c>
      <c r="AI275" s="6"/>
    </row>
    <row r="276" spans="1:35" x14ac:dyDescent="0.2">
      <c r="A276" s="4"/>
      <c r="B276" s="17">
        <v>268</v>
      </c>
      <c r="C276" s="41" t="s">
        <v>560</v>
      </c>
      <c r="D276" s="53"/>
      <c r="E276" s="15" t="s">
        <v>561</v>
      </c>
      <c r="F276" s="30"/>
      <c r="G276" s="31"/>
      <c r="H276" s="30"/>
      <c r="I276" s="58"/>
      <c r="J276" s="30"/>
      <c r="K276" s="58"/>
      <c r="L276" s="30"/>
      <c r="M276" s="58"/>
      <c r="N276" s="30"/>
      <c r="O276" s="58"/>
      <c r="P276" s="30"/>
      <c r="Q276" s="58"/>
      <c r="R276" s="30"/>
      <c r="S276" s="58"/>
      <c r="T276" s="30"/>
      <c r="U276" s="58"/>
      <c r="V276" s="30"/>
      <c r="W276" s="58"/>
      <c r="X276" s="30"/>
      <c r="Y276" s="58"/>
      <c r="Z276" s="30"/>
      <c r="AA276" s="58"/>
      <c r="AB276" s="30"/>
      <c r="AC276" s="58"/>
      <c r="AD276" s="30"/>
      <c r="AE276" s="58"/>
      <c r="AF276" s="55">
        <v>10000</v>
      </c>
      <c r="AG276" s="12">
        <f>+F276++H276++J276++L276++N276++P276++R276++T276++V276++X276++Z276++AB276++AD276+0</f>
        <v>0</v>
      </c>
      <c r="AH276" s="11">
        <f>G276+I276+K276+M276+O276+Q276+S276+U276+W276+Y276+AA276+AC276+AE276+0</f>
        <v>0</v>
      </c>
      <c r="AI276" s="6"/>
    </row>
    <row r="277" spans="1:35" x14ac:dyDescent="0.2">
      <c r="A277" s="4"/>
      <c r="B277" s="17">
        <v>269</v>
      </c>
      <c r="C277" s="41" t="s">
        <v>562</v>
      </c>
      <c r="D277" s="53"/>
      <c r="E277" s="15" t="s">
        <v>563</v>
      </c>
      <c r="F277" s="30"/>
      <c r="G277" s="31"/>
      <c r="H277" s="30"/>
      <c r="I277" s="58"/>
      <c r="J277" s="30"/>
      <c r="K277" s="58"/>
      <c r="L277" s="30"/>
      <c r="M277" s="58"/>
      <c r="N277" s="30"/>
      <c r="O277" s="58"/>
      <c r="P277" s="30"/>
      <c r="Q277" s="58"/>
      <c r="R277" s="30"/>
      <c r="S277" s="58"/>
      <c r="T277" s="30"/>
      <c r="U277" s="58"/>
      <c r="V277" s="30"/>
      <c r="W277" s="58"/>
      <c r="X277" s="30"/>
      <c r="Y277" s="58"/>
      <c r="Z277" s="30"/>
      <c r="AA277" s="58"/>
      <c r="AB277" s="30"/>
      <c r="AC277" s="58"/>
      <c r="AD277" s="30"/>
      <c r="AE277" s="58"/>
      <c r="AF277" s="55">
        <v>100000</v>
      </c>
      <c r="AG277" s="12">
        <f>+F277++H277++J277++L277++N277++P277++R277++T277++V277++X277++Z277++AB277++AD277+0</f>
        <v>0</v>
      </c>
      <c r="AH277" s="11">
        <f>G277+I277+K277+M277+O277+Q277+S277+U277+W277+Y277+AA277+AC277+AE277+0</f>
        <v>0</v>
      </c>
      <c r="AI277" s="6"/>
    </row>
    <row r="278" spans="1:35" x14ac:dyDescent="0.2">
      <c r="A278" s="4"/>
      <c r="B278" s="17">
        <v>270</v>
      </c>
      <c r="C278" s="41" t="s">
        <v>564</v>
      </c>
      <c r="D278" s="53"/>
      <c r="E278" s="15" t="s">
        <v>565</v>
      </c>
      <c r="F278" s="30"/>
      <c r="G278" s="31"/>
      <c r="H278" s="30"/>
      <c r="I278" s="58"/>
      <c r="J278" s="30"/>
      <c r="K278" s="58"/>
      <c r="L278" s="30"/>
      <c r="M278" s="58"/>
      <c r="N278" s="30"/>
      <c r="O278" s="58"/>
      <c r="P278" s="30"/>
      <c r="Q278" s="58"/>
      <c r="R278" s="30"/>
      <c r="S278" s="58"/>
      <c r="T278" s="30"/>
      <c r="U278" s="58"/>
      <c r="V278" s="30"/>
      <c r="W278" s="58"/>
      <c r="X278" s="30"/>
      <c r="Y278" s="58"/>
      <c r="Z278" s="30"/>
      <c r="AA278" s="58"/>
      <c r="AB278" s="30"/>
      <c r="AC278" s="58"/>
      <c r="AD278" s="30"/>
      <c r="AE278" s="58"/>
      <c r="AF278" s="55">
        <v>60000</v>
      </c>
      <c r="AG278" s="12">
        <f>+F278++H278++J278++L278++N278++P278++R278++T278++V278++X278++Z278++AB278++AD278+0</f>
        <v>0</v>
      </c>
      <c r="AH278" s="11">
        <f>G278+I278+K278+M278+O278+Q278+S278+U278+W278+Y278+AA278+AC278+AE278+0</f>
        <v>0</v>
      </c>
      <c r="AI278" s="6"/>
    </row>
    <row r="279" spans="1:35" x14ac:dyDescent="0.2">
      <c r="A279" s="4"/>
      <c r="B279" s="17">
        <v>271</v>
      </c>
      <c r="C279" s="41" t="s">
        <v>566</v>
      </c>
      <c r="D279" s="53"/>
      <c r="E279" s="15" t="s">
        <v>567</v>
      </c>
      <c r="F279" s="30"/>
      <c r="G279" s="31"/>
      <c r="H279" s="30"/>
      <c r="I279" s="58"/>
      <c r="J279" s="30"/>
      <c r="K279" s="58"/>
      <c r="L279" s="30"/>
      <c r="M279" s="58"/>
      <c r="N279" s="30"/>
      <c r="O279" s="58"/>
      <c r="P279" s="30"/>
      <c r="Q279" s="58"/>
      <c r="R279" s="30"/>
      <c r="S279" s="58"/>
      <c r="T279" s="30"/>
      <c r="U279" s="58"/>
      <c r="V279" s="30"/>
      <c r="W279" s="58"/>
      <c r="X279" s="30"/>
      <c r="Y279" s="58"/>
      <c r="Z279" s="30"/>
      <c r="AA279" s="58"/>
      <c r="AB279" s="30"/>
      <c r="AC279" s="58"/>
      <c r="AD279" s="30"/>
      <c r="AE279" s="58"/>
      <c r="AF279" s="55">
        <v>50000</v>
      </c>
      <c r="AG279" s="12">
        <f>+F279++H279++J279++L279++N279++P279++R279++T279++V279++X279++Z279++AB279++AD279+0</f>
        <v>0</v>
      </c>
      <c r="AH279" s="11">
        <f>G279+I279+K279+M279+O279+Q279+S279+U279+W279+Y279+AA279+AC279+AE279+0</f>
        <v>0</v>
      </c>
      <c r="AI279" s="6"/>
    </row>
    <row r="280" spans="1:35" x14ac:dyDescent="0.2">
      <c r="A280" s="4"/>
      <c r="B280" s="17">
        <v>272</v>
      </c>
      <c r="C280" s="41" t="s">
        <v>568</v>
      </c>
      <c r="D280" s="53"/>
      <c r="E280" s="15" t="s">
        <v>569</v>
      </c>
      <c r="F280" s="30"/>
      <c r="G280" s="31"/>
      <c r="H280" s="30"/>
      <c r="I280" s="58"/>
      <c r="J280" s="30"/>
      <c r="K280" s="58"/>
      <c r="L280" s="30"/>
      <c r="M280" s="58"/>
      <c r="N280" s="30"/>
      <c r="O280" s="58"/>
      <c r="P280" s="30"/>
      <c r="Q280" s="58"/>
      <c r="R280" s="30"/>
      <c r="S280" s="58"/>
      <c r="T280" s="30"/>
      <c r="U280" s="58"/>
      <c r="V280" s="30"/>
      <c r="W280" s="58"/>
      <c r="X280" s="30"/>
      <c r="Y280" s="58"/>
      <c r="Z280" s="30"/>
      <c r="AA280" s="58"/>
      <c r="AB280" s="30"/>
      <c r="AC280" s="58"/>
      <c r="AD280" s="30"/>
      <c r="AE280" s="58"/>
      <c r="AF280" s="55">
        <v>25000</v>
      </c>
      <c r="AG280" s="12">
        <f>+F280++H280++J280++L280++N280++P280++R280++T280++V280++X280++Z280++AB280++AD280+0</f>
        <v>0</v>
      </c>
      <c r="AH280" s="11">
        <f>G280+I280+K280+M280+O280+Q280+S280+U280+W280+Y280+AA280+AC280+AE280+0</f>
        <v>0</v>
      </c>
      <c r="AI280" s="6"/>
    </row>
    <row r="281" spans="1:35" x14ac:dyDescent="0.2">
      <c r="A281" s="4"/>
      <c r="B281" s="17">
        <v>273</v>
      </c>
      <c r="C281" s="41" t="s">
        <v>570</v>
      </c>
      <c r="D281" s="53"/>
      <c r="E281" s="15" t="s">
        <v>571</v>
      </c>
      <c r="F281" s="30"/>
      <c r="G281" s="31"/>
      <c r="H281" s="30"/>
      <c r="I281" s="58"/>
      <c r="J281" s="30"/>
      <c r="K281" s="58"/>
      <c r="L281" s="30"/>
      <c r="M281" s="58"/>
      <c r="N281" s="30"/>
      <c r="O281" s="58"/>
      <c r="P281" s="30"/>
      <c r="Q281" s="58"/>
      <c r="R281" s="30"/>
      <c r="S281" s="58"/>
      <c r="T281" s="30"/>
      <c r="U281" s="58"/>
      <c r="V281" s="30"/>
      <c r="W281" s="58"/>
      <c r="X281" s="30"/>
      <c r="Y281" s="58"/>
      <c r="Z281" s="30"/>
      <c r="AA281" s="58"/>
      <c r="AB281" s="30"/>
      <c r="AC281" s="58"/>
      <c r="AD281" s="30"/>
      <c r="AE281" s="58"/>
      <c r="AF281" s="55">
        <v>100000</v>
      </c>
      <c r="AG281" s="12">
        <f>+F281++H281++J281++L281++N281++P281++R281++T281++V281++X281++Z281++AB281++AD281+0</f>
        <v>0</v>
      </c>
      <c r="AH281" s="11">
        <f>G281+I281+K281+M281+O281+Q281+S281+U281+W281+Y281+AA281+AC281+AE281+0</f>
        <v>0</v>
      </c>
      <c r="AI281" s="6"/>
    </row>
    <row r="282" spans="1:35" x14ac:dyDescent="0.2">
      <c r="A282" s="4"/>
      <c r="B282" s="17">
        <v>274</v>
      </c>
      <c r="C282" s="41" t="s">
        <v>572</v>
      </c>
      <c r="D282" s="53"/>
      <c r="E282" s="15" t="s">
        <v>573</v>
      </c>
      <c r="F282" s="30"/>
      <c r="G282" s="31"/>
      <c r="H282" s="30"/>
      <c r="I282" s="58"/>
      <c r="J282" s="30"/>
      <c r="K282" s="58"/>
      <c r="L282" s="30"/>
      <c r="M282" s="58"/>
      <c r="N282" s="30"/>
      <c r="O282" s="58"/>
      <c r="P282" s="30"/>
      <c r="Q282" s="58"/>
      <c r="R282" s="30"/>
      <c r="S282" s="58"/>
      <c r="T282" s="30"/>
      <c r="U282" s="58"/>
      <c r="V282" s="30"/>
      <c r="W282" s="58"/>
      <c r="X282" s="30"/>
      <c r="Y282" s="58"/>
      <c r="Z282" s="30"/>
      <c r="AA282" s="58"/>
      <c r="AB282" s="30"/>
      <c r="AC282" s="58"/>
      <c r="AD282" s="30"/>
      <c r="AE282" s="58"/>
      <c r="AF282" s="55">
        <v>25000</v>
      </c>
      <c r="AG282" s="12">
        <f>+F282++H282++J282++L282++N282++P282++R282++T282++V282++X282++Z282++AB282++AD282+0</f>
        <v>0</v>
      </c>
      <c r="AH282" s="11">
        <f>G282+I282+K282+M282+O282+Q282+S282+U282+W282+Y282+AA282+AC282+AE282+0</f>
        <v>0</v>
      </c>
      <c r="AI282" s="6"/>
    </row>
    <row r="283" spans="1:35" x14ac:dyDescent="0.2">
      <c r="A283" s="4"/>
      <c r="B283" s="17">
        <v>275</v>
      </c>
      <c r="C283" s="41" t="s">
        <v>574</v>
      </c>
      <c r="D283" s="53"/>
      <c r="E283" s="15" t="s">
        <v>575</v>
      </c>
      <c r="F283" s="30"/>
      <c r="G283" s="31"/>
      <c r="H283" s="30"/>
      <c r="I283" s="58"/>
      <c r="J283" s="30"/>
      <c r="K283" s="58"/>
      <c r="L283" s="30"/>
      <c r="M283" s="58"/>
      <c r="N283" s="30"/>
      <c r="O283" s="58"/>
      <c r="P283" s="30"/>
      <c r="Q283" s="58"/>
      <c r="R283" s="30"/>
      <c r="S283" s="58"/>
      <c r="T283" s="30"/>
      <c r="U283" s="58"/>
      <c r="V283" s="30"/>
      <c r="W283" s="58"/>
      <c r="X283" s="30"/>
      <c r="Y283" s="58"/>
      <c r="Z283" s="30"/>
      <c r="AA283" s="58"/>
      <c r="AB283" s="30"/>
      <c r="AC283" s="58"/>
      <c r="AD283" s="30"/>
      <c r="AE283" s="58"/>
      <c r="AF283" s="55">
        <v>30000</v>
      </c>
      <c r="AG283" s="12">
        <f>+F283++H283++J283++L283++N283++P283++R283++T283++V283++X283++Z283++AB283++AD283+0</f>
        <v>0</v>
      </c>
      <c r="AH283" s="11">
        <f>G283+I283+K283+M283+O283+Q283+S283+U283+W283+Y283+AA283+AC283+AE283+0</f>
        <v>0</v>
      </c>
      <c r="AI283" s="6"/>
    </row>
    <row r="284" spans="1:35" x14ac:dyDescent="0.2">
      <c r="A284" s="4"/>
      <c r="B284" s="17">
        <v>276</v>
      </c>
      <c r="C284" s="41" t="s">
        <v>576</v>
      </c>
      <c r="D284" s="53"/>
      <c r="E284" s="15" t="s">
        <v>577</v>
      </c>
      <c r="F284" s="30"/>
      <c r="G284" s="31"/>
      <c r="H284" s="30"/>
      <c r="I284" s="58"/>
      <c r="J284" s="30"/>
      <c r="K284" s="58"/>
      <c r="L284" s="30"/>
      <c r="M284" s="58"/>
      <c r="N284" s="30"/>
      <c r="O284" s="58"/>
      <c r="P284" s="30"/>
      <c r="Q284" s="58"/>
      <c r="R284" s="30"/>
      <c r="S284" s="58"/>
      <c r="T284" s="30"/>
      <c r="U284" s="58"/>
      <c r="V284" s="30"/>
      <c r="W284" s="58"/>
      <c r="X284" s="30"/>
      <c r="Y284" s="58"/>
      <c r="Z284" s="30"/>
      <c r="AA284" s="58"/>
      <c r="AB284" s="30"/>
      <c r="AC284" s="58"/>
      <c r="AD284" s="30"/>
      <c r="AE284" s="58"/>
      <c r="AF284" s="55">
        <v>200000</v>
      </c>
      <c r="AG284" s="12">
        <f>+F284++H284++J284++L284++N284++P284++R284++T284++V284++X284++Z284++AB284++AD284+0</f>
        <v>0</v>
      </c>
      <c r="AH284" s="11">
        <f>G284+I284+K284+M284+O284+Q284+S284+U284+W284+Y284+AA284+AC284+AE284+0</f>
        <v>0</v>
      </c>
      <c r="AI284" s="6"/>
    </row>
    <row r="285" spans="1:35" x14ac:dyDescent="0.2">
      <c r="A285" s="4"/>
      <c r="B285" s="17">
        <v>277</v>
      </c>
      <c r="C285" s="41" t="s">
        <v>578</v>
      </c>
      <c r="D285" s="53"/>
      <c r="E285" s="15" t="s">
        <v>579</v>
      </c>
      <c r="F285" s="30"/>
      <c r="G285" s="31"/>
      <c r="H285" s="30"/>
      <c r="I285" s="58"/>
      <c r="J285" s="30"/>
      <c r="K285" s="58"/>
      <c r="L285" s="30"/>
      <c r="M285" s="58"/>
      <c r="N285" s="30"/>
      <c r="O285" s="58"/>
      <c r="P285" s="30"/>
      <c r="Q285" s="58"/>
      <c r="R285" s="30"/>
      <c r="S285" s="58"/>
      <c r="T285" s="30"/>
      <c r="U285" s="58"/>
      <c r="V285" s="30"/>
      <c r="W285" s="58"/>
      <c r="X285" s="30"/>
      <c r="Y285" s="58"/>
      <c r="Z285" s="30"/>
      <c r="AA285" s="58"/>
      <c r="AB285" s="30"/>
      <c r="AC285" s="58"/>
      <c r="AD285" s="30"/>
      <c r="AE285" s="58"/>
      <c r="AF285" s="55">
        <v>10000</v>
      </c>
      <c r="AG285" s="12">
        <f>+F285++H285++J285++L285++N285++P285++R285++T285++V285++X285++Z285++AB285++AD285+0</f>
        <v>0</v>
      </c>
      <c r="AH285" s="11">
        <f>G285+I285+K285+M285+O285+Q285+S285+U285+W285+Y285+AA285+AC285+AE285+0</f>
        <v>0</v>
      </c>
      <c r="AI285" s="6"/>
    </row>
    <row r="286" spans="1:35" x14ac:dyDescent="0.2">
      <c r="A286" s="4"/>
      <c r="B286" s="17">
        <v>278</v>
      </c>
      <c r="C286" s="41" t="s">
        <v>580</v>
      </c>
      <c r="D286" s="53"/>
      <c r="E286" s="15" t="s">
        <v>581</v>
      </c>
      <c r="F286" s="30"/>
      <c r="G286" s="31"/>
      <c r="H286" s="30"/>
      <c r="I286" s="58"/>
      <c r="J286" s="30"/>
      <c r="K286" s="58"/>
      <c r="L286" s="30"/>
      <c r="M286" s="58"/>
      <c r="N286" s="30"/>
      <c r="O286" s="58"/>
      <c r="P286" s="30"/>
      <c r="Q286" s="58"/>
      <c r="R286" s="30"/>
      <c r="S286" s="58"/>
      <c r="T286" s="30"/>
      <c r="U286" s="58"/>
      <c r="V286" s="30"/>
      <c r="W286" s="58"/>
      <c r="X286" s="30"/>
      <c r="Y286" s="58"/>
      <c r="Z286" s="30"/>
      <c r="AA286" s="58"/>
      <c r="AB286" s="30"/>
      <c r="AC286" s="58"/>
      <c r="AD286" s="30"/>
      <c r="AE286" s="58"/>
      <c r="AF286" s="55">
        <v>100000</v>
      </c>
      <c r="AG286" s="12">
        <f>+F286++H286++J286++L286++N286++P286++R286++T286++V286++X286++Z286++AB286++AD286+0</f>
        <v>0</v>
      </c>
      <c r="AH286" s="11">
        <f>G286+I286+K286+M286+O286+Q286+S286+U286+W286+Y286+AA286+AC286+AE286+0</f>
        <v>0</v>
      </c>
      <c r="AI286" s="6"/>
    </row>
    <row r="287" spans="1:35" x14ac:dyDescent="0.2">
      <c r="A287" s="4"/>
      <c r="B287" s="17">
        <v>279</v>
      </c>
      <c r="C287" s="41" t="s">
        <v>582</v>
      </c>
      <c r="D287" s="53"/>
      <c r="E287" s="15" t="s">
        <v>583</v>
      </c>
      <c r="F287" s="30"/>
      <c r="G287" s="31"/>
      <c r="H287" s="30"/>
      <c r="I287" s="58"/>
      <c r="J287" s="30"/>
      <c r="K287" s="58"/>
      <c r="L287" s="30"/>
      <c r="M287" s="58"/>
      <c r="N287" s="30"/>
      <c r="O287" s="58"/>
      <c r="P287" s="30"/>
      <c r="Q287" s="58"/>
      <c r="R287" s="30"/>
      <c r="S287" s="58"/>
      <c r="T287" s="30"/>
      <c r="U287" s="58"/>
      <c r="V287" s="30"/>
      <c r="W287" s="58"/>
      <c r="X287" s="30"/>
      <c r="Y287" s="58"/>
      <c r="Z287" s="30"/>
      <c r="AA287" s="58"/>
      <c r="AB287" s="30"/>
      <c r="AC287" s="58"/>
      <c r="AD287" s="30"/>
      <c r="AE287" s="58"/>
      <c r="AF287" s="55">
        <v>30000</v>
      </c>
      <c r="AG287" s="12">
        <f>+F287++H287++J287++L287++N287++P287++R287++T287++V287++X287++Z287++AB287++AD287+0</f>
        <v>0</v>
      </c>
      <c r="AH287" s="11">
        <f>G287+I287+K287+M287+O287+Q287+S287+U287+W287+Y287+AA287+AC287+AE287+0</f>
        <v>0</v>
      </c>
      <c r="AI287" s="6"/>
    </row>
    <row r="288" spans="1:35" x14ac:dyDescent="0.2">
      <c r="A288" s="4"/>
      <c r="B288" s="17">
        <v>280</v>
      </c>
      <c r="C288" s="41" t="s">
        <v>584</v>
      </c>
      <c r="D288" s="53"/>
      <c r="E288" s="15" t="s">
        <v>585</v>
      </c>
      <c r="F288" s="30"/>
      <c r="G288" s="31"/>
      <c r="H288" s="30"/>
      <c r="I288" s="58"/>
      <c r="J288" s="30"/>
      <c r="K288" s="58"/>
      <c r="L288" s="30"/>
      <c r="M288" s="58"/>
      <c r="N288" s="30"/>
      <c r="O288" s="58"/>
      <c r="P288" s="30"/>
      <c r="Q288" s="58"/>
      <c r="R288" s="30"/>
      <c r="S288" s="58"/>
      <c r="T288" s="30"/>
      <c r="U288" s="58"/>
      <c r="V288" s="30"/>
      <c r="W288" s="58"/>
      <c r="X288" s="30"/>
      <c r="Y288" s="58"/>
      <c r="Z288" s="30"/>
      <c r="AA288" s="58"/>
      <c r="AB288" s="30"/>
      <c r="AC288" s="58"/>
      <c r="AD288" s="30"/>
      <c r="AE288" s="58"/>
      <c r="AF288" s="55">
        <v>170000</v>
      </c>
      <c r="AG288" s="12">
        <f>+F288++H288++J288++L288++N288++P288++R288++T288++V288++X288++Z288++AB288++AD288+0</f>
        <v>0</v>
      </c>
      <c r="AH288" s="11">
        <f>G288+I288+K288+M288+O288+Q288+S288+U288+W288+Y288+AA288+AC288+AE288+0</f>
        <v>0</v>
      </c>
      <c r="AI288" s="6"/>
    </row>
    <row r="289" spans="1:35" x14ac:dyDescent="0.2">
      <c r="A289" s="4"/>
      <c r="B289" s="17">
        <v>281</v>
      </c>
      <c r="C289" s="41" t="s">
        <v>586</v>
      </c>
      <c r="D289" s="53"/>
      <c r="E289" s="15" t="s">
        <v>587</v>
      </c>
      <c r="F289" s="30"/>
      <c r="G289" s="31"/>
      <c r="H289" s="30"/>
      <c r="I289" s="58"/>
      <c r="J289" s="30"/>
      <c r="K289" s="58"/>
      <c r="L289" s="30"/>
      <c r="M289" s="58"/>
      <c r="N289" s="30"/>
      <c r="O289" s="58"/>
      <c r="P289" s="30"/>
      <c r="Q289" s="58"/>
      <c r="R289" s="30"/>
      <c r="S289" s="58"/>
      <c r="T289" s="30"/>
      <c r="U289" s="58"/>
      <c r="V289" s="30"/>
      <c r="W289" s="58"/>
      <c r="X289" s="30"/>
      <c r="Y289" s="58"/>
      <c r="Z289" s="30"/>
      <c r="AA289" s="58"/>
      <c r="AB289" s="30"/>
      <c r="AC289" s="58"/>
      <c r="AD289" s="30"/>
      <c r="AE289" s="58"/>
      <c r="AF289" s="55">
        <v>100000</v>
      </c>
      <c r="AG289" s="12">
        <f>+F289++H289++J289++L289++N289++P289++R289++T289++V289++X289++Z289++AB289++AD289+0</f>
        <v>0</v>
      </c>
      <c r="AH289" s="11">
        <f>G289+I289+K289+M289+O289+Q289+S289+U289+W289+Y289+AA289+AC289+AE289+0</f>
        <v>0</v>
      </c>
      <c r="AI289" s="6"/>
    </row>
    <row r="290" spans="1:35" x14ac:dyDescent="0.2">
      <c r="A290" s="4"/>
      <c r="B290" s="17">
        <v>282</v>
      </c>
      <c r="C290" s="41" t="s">
        <v>588</v>
      </c>
      <c r="D290" s="53"/>
      <c r="E290" s="15" t="s">
        <v>589</v>
      </c>
      <c r="F290" s="30"/>
      <c r="G290" s="31"/>
      <c r="H290" s="30"/>
      <c r="I290" s="58"/>
      <c r="J290" s="30"/>
      <c r="K290" s="58"/>
      <c r="L290" s="30"/>
      <c r="M290" s="58"/>
      <c r="N290" s="30"/>
      <c r="O290" s="58"/>
      <c r="P290" s="30"/>
      <c r="Q290" s="58"/>
      <c r="R290" s="30"/>
      <c r="S290" s="58"/>
      <c r="T290" s="30"/>
      <c r="U290" s="58"/>
      <c r="V290" s="30"/>
      <c r="W290" s="58"/>
      <c r="X290" s="30"/>
      <c r="Y290" s="58"/>
      <c r="Z290" s="30"/>
      <c r="AA290" s="58"/>
      <c r="AB290" s="30"/>
      <c r="AC290" s="58"/>
      <c r="AD290" s="30"/>
      <c r="AE290" s="58"/>
      <c r="AF290" s="55">
        <v>40000</v>
      </c>
      <c r="AG290" s="12">
        <f>+F290++H290++J290++L290++N290++P290++R290++T290++V290++X290++Z290++AB290++AD290+0</f>
        <v>0</v>
      </c>
      <c r="AH290" s="11">
        <f>G290+I290+K290+M290+O290+Q290+S290+U290+W290+Y290+AA290+AC290+AE290+0</f>
        <v>0</v>
      </c>
      <c r="AI290" s="6"/>
    </row>
    <row r="291" spans="1:35" x14ac:dyDescent="0.2">
      <c r="A291" s="4"/>
      <c r="B291" s="17">
        <v>283</v>
      </c>
      <c r="C291" s="41" t="s">
        <v>590</v>
      </c>
      <c r="D291" s="53"/>
      <c r="E291" s="15" t="s">
        <v>591</v>
      </c>
      <c r="F291" s="30"/>
      <c r="G291" s="31"/>
      <c r="H291" s="30"/>
      <c r="I291" s="58"/>
      <c r="J291" s="30"/>
      <c r="K291" s="58"/>
      <c r="L291" s="30"/>
      <c r="M291" s="58"/>
      <c r="N291" s="30"/>
      <c r="O291" s="58"/>
      <c r="P291" s="30"/>
      <c r="Q291" s="58"/>
      <c r="R291" s="30"/>
      <c r="S291" s="58"/>
      <c r="T291" s="30"/>
      <c r="U291" s="58"/>
      <c r="V291" s="30"/>
      <c r="W291" s="58"/>
      <c r="X291" s="30"/>
      <c r="Y291" s="58"/>
      <c r="Z291" s="30"/>
      <c r="AA291" s="58"/>
      <c r="AB291" s="30"/>
      <c r="AC291" s="58"/>
      <c r="AD291" s="30"/>
      <c r="AE291" s="58"/>
      <c r="AF291" s="55">
        <v>40000</v>
      </c>
      <c r="AG291" s="12">
        <f>+F291++H291++J291++L291++N291++P291++R291++T291++V291++X291++Z291++AB291++AD291+0</f>
        <v>0</v>
      </c>
      <c r="AH291" s="11">
        <f>G291+I291+K291+M291+O291+Q291+S291+U291+W291+Y291+AA291+AC291+AE291+0</f>
        <v>0</v>
      </c>
      <c r="AI291" s="6"/>
    </row>
    <row r="292" spans="1:35" x14ac:dyDescent="0.2">
      <c r="A292" s="4"/>
      <c r="B292" s="17">
        <v>284</v>
      </c>
      <c r="C292" s="41" t="s">
        <v>592</v>
      </c>
      <c r="D292" s="53"/>
      <c r="E292" s="15" t="s">
        <v>593</v>
      </c>
      <c r="F292" s="30"/>
      <c r="G292" s="31"/>
      <c r="H292" s="30"/>
      <c r="I292" s="58"/>
      <c r="J292" s="30"/>
      <c r="K292" s="58"/>
      <c r="L292" s="30"/>
      <c r="M292" s="58"/>
      <c r="N292" s="30"/>
      <c r="O292" s="58"/>
      <c r="P292" s="30"/>
      <c r="Q292" s="58"/>
      <c r="R292" s="30"/>
      <c r="S292" s="58"/>
      <c r="T292" s="30"/>
      <c r="U292" s="58"/>
      <c r="V292" s="30"/>
      <c r="W292" s="58"/>
      <c r="X292" s="30"/>
      <c r="Y292" s="58"/>
      <c r="Z292" s="30"/>
      <c r="AA292" s="58"/>
      <c r="AB292" s="30"/>
      <c r="AC292" s="58"/>
      <c r="AD292" s="30"/>
      <c r="AE292" s="58"/>
      <c r="AF292" s="55">
        <v>20000</v>
      </c>
      <c r="AG292" s="12">
        <f>+F292++H292++J292++L292++N292++P292++R292++T292++V292++X292++Z292++AB292++AD292+0</f>
        <v>0</v>
      </c>
      <c r="AH292" s="11">
        <f>G292+I292+K292+M292+O292+Q292+S292+U292+W292+Y292+AA292+AC292+AE292+0</f>
        <v>0</v>
      </c>
      <c r="AI292" s="6"/>
    </row>
    <row r="293" spans="1:35" x14ac:dyDescent="0.2">
      <c r="A293" s="4"/>
      <c r="B293" s="17">
        <v>285</v>
      </c>
      <c r="C293" s="41" t="s">
        <v>594</v>
      </c>
      <c r="D293" s="53"/>
      <c r="E293" s="15" t="s">
        <v>595</v>
      </c>
      <c r="F293" s="30"/>
      <c r="G293" s="31"/>
      <c r="H293" s="30"/>
      <c r="I293" s="58"/>
      <c r="J293" s="30"/>
      <c r="K293" s="58"/>
      <c r="L293" s="30"/>
      <c r="M293" s="58"/>
      <c r="N293" s="30"/>
      <c r="O293" s="58"/>
      <c r="P293" s="30"/>
      <c r="Q293" s="58"/>
      <c r="R293" s="30"/>
      <c r="S293" s="58"/>
      <c r="T293" s="30"/>
      <c r="U293" s="58"/>
      <c r="V293" s="30"/>
      <c r="W293" s="58"/>
      <c r="X293" s="30"/>
      <c r="Y293" s="58"/>
      <c r="Z293" s="30"/>
      <c r="AA293" s="58"/>
      <c r="AB293" s="30"/>
      <c r="AC293" s="58"/>
      <c r="AD293" s="30"/>
      <c r="AE293" s="58"/>
      <c r="AF293" s="55">
        <v>50000</v>
      </c>
      <c r="AG293" s="12">
        <f>+F293++H293++J293++L293++N293++P293++R293++T293++V293++X293++Z293++AB293++AD293+0</f>
        <v>0</v>
      </c>
      <c r="AH293" s="11">
        <f>G293+I293+K293+M293+O293+Q293+S293+U293+W293+Y293+AA293+AC293+AE293+0</f>
        <v>0</v>
      </c>
      <c r="AI293" s="6"/>
    </row>
    <row r="294" spans="1:35" x14ac:dyDescent="0.2">
      <c r="A294" s="4"/>
      <c r="B294" s="17">
        <v>286</v>
      </c>
      <c r="C294" s="41" t="s">
        <v>596</v>
      </c>
      <c r="D294" s="53"/>
      <c r="E294" s="15" t="s">
        <v>597</v>
      </c>
      <c r="F294" s="30"/>
      <c r="G294" s="31"/>
      <c r="H294" s="30"/>
      <c r="I294" s="58"/>
      <c r="J294" s="30"/>
      <c r="K294" s="58"/>
      <c r="L294" s="30"/>
      <c r="M294" s="58"/>
      <c r="N294" s="30"/>
      <c r="O294" s="58"/>
      <c r="P294" s="30"/>
      <c r="Q294" s="58"/>
      <c r="R294" s="30"/>
      <c r="S294" s="58"/>
      <c r="T294" s="30"/>
      <c r="U294" s="58"/>
      <c r="V294" s="30"/>
      <c r="W294" s="58"/>
      <c r="X294" s="30"/>
      <c r="Y294" s="58"/>
      <c r="Z294" s="30"/>
      <c r="AA294" s="58"/>
      <c r="AB294" s="30"/>
      <c r="AC294" s="58"/>
      <c r="AD294" s="30"/>
      <c r="AE294" s="58"/>
      <c r="AF294" s="55">
        <v>25000</v>
      </c>
      <c r="AG294" s="12">
        <f>+F294++H294++J294++L294++N294++P294++R294++T294++V294++X294++Z294++AB294++AD294+0</f>
        <v>0</v>
      </c>
      <c r="AH294" s="11">
        <f>G294+I294+K294+M294+O294+Q294+S294+U294+W294+Y294+AA294+AC294+AE294+0</f>
        <v>0</v>
      </c>
      <c r="AI294" s="6"/>
    </row>
    <row r="295" spans="1:35" x14ac:dyDescent="0.2">
      <c r="A295" s="4"/>
      <c r="B295" s="17">
        <v>287</v>
      </c>
      <c r="C295" s="41" t="s">
        <v>598</v>
      </c>
      <c r="D295" s="53"/>
      <c r="E295" s="15" t="s">
        <v>599</v>
      </c>
      <c r="F295" s="30"/>
      <c r="G295" s="31"/>
      <c r="H295" s="30"/>
      <c r="I295" s="58"/>
      <c r="J295" s="30"/>
      <c r="K295" s="58"/>
      <c r="L295" s="30"/>
      <c r="M295" s="58"/>
      <c r="N295" s="30"/>
      <c r="O295" s="58"/>
      <c r="P295" s="30"/>
      <c r="Q295" s="58"/>
      <c r="R295" s="30"/>
      <c r="S295" s="58"/>
      <c r="T295" s="30"/>
      <c r="U295" s="58"/>
      <c r="V295" s="30"/>
      <c r="W295" s="58"/>
      <c r="X295" s="30"/>
      <c r="Y295" s="58"/>
      <c r="Z295" s="30"/>
      <c r="AA295" s="58"/>
      <c r="AB295" s="30"/>
      <c r="AC295" s="58"/>
      <c r="AD295" s="30"/>
      <c r="AE295" s="58"/>
      <c r="AF295" s="55">
        <v>100000</v>
      </c>
      <c r="AG295" s="12">
        <f>+F295++H295++J295++L295++N295++P295++R295++T295++V295++X295++Z295++AB295++AD295+0</f>
        <v>0</v>
      </c>
      <c r="AH295" s="11">
        <f>G295+I295+K295+M295+O295+Q295+S295+U295+W295+Y295+AA295+AC295+AE295+0</f>
        <v>0</v>
      </c>
      <c r="AI295" s="6"/>
    </row>
    <row r="296" spans="1:35" x14ac:dyDescent="0.2">
      <c r="A296" s="4"/>
      <c r="B296" s="17">
        <v>288</v>
      </c>
      <c r="C296" s="41" t="s">
        <v>600</v>
      </c>
      <c r="D296" s="53"/>
      <c r="E296" s="15" t="s">
        <v>601</v>
      </c>
      <c r="F296" s="30"/>
      <c r="G296" s="31"/>
      <c r="H296" s="30"/>
      <c r="I296" s="58"/>
      <c r="J296" s="30"/>
      <c r="K296" s="58"/>
      <c r="L296" s="30"/>
      <c r="M296" s="58"/>
      <c r="N296" s="30"/>
      <c r="O296" s="58"/>
      <c r="P296" s="30"/>
      <c r="Q296" s="58"/>
      <c r="R296" s="30"/>
      <c r="S296" s="58"/>
      <c r="T296" s="30"/>
      <c r="U296" s="58"/>
      <c r="V296" s="30"/>
      <c r="W296" s="58"/>
      <c r="X296" s="30"/>
      <c r="Y296" s="58"/>
      <c r="Z296" s="30"/>
      <c r="AA296" s="58"/>
      <c r="AB296" s="30"/>
      <c r="AC296" s="58"/>
      <c r="AD296" s="30"/>
      <c r="AE296" s="58"/>
      <c r="AF296" s="55">
        <v>50000</v>
      </c>
      <c r="AG296" s="12">
        <f>+F296++H296++J296++L296++N296++P296++R296++T296++V296++X296++Z296++AB296++AD296+0</f>
        <v>0</v>
      </c>
      <c r="AH296" s="11">
        <f>G296+I296+K296+M296+O296+Q296+S296+U296+W296+Y296+AA296+AC296+AE296+0</f>
        <v>0</v>
      </c>
      <c r="AI296" s="6"/>
    </row>
    <row r="297" spans="1:35" x14ac:dyDescent="0.2">
      <c r="A297" s="4"/>
      <c r="B297" s="17">
        <v>289</v>
      </c>
      <c r="C297" s="41" t="s">
        <v>602</v>
      </c>
      <c r="D297" s="53"/>
      <c r="E297" s="15" t="s">
        <v>603</v>
      </c>
      <c r="F297" s="30"/>
      <c r="G297" s="31"/>
      <c r="H297" s="30"/>
      <c r="I297" s="58"/>
      <c r="J297" s="30"/>
      <c r="K297" s="58"/>
      <c r="L297" s="30"/>
      <c r="M297" s="58"/>
      <c r="N297" s="30"/>
      <c r="O297" s="58"/>
      <c r="P297" s="30"/>
      <c r="Q297" s="58"/>
      <c r="R297" s="30"/>
      <c r="S297" s="58"/>
      <c r="T297" s="30"/>
      <c r="U297" s="58"/>
      <c r="V297" s="30"/>
      <c r="W297" s="58"/>
      <c r="X297" s="30"/>
      <c r="Y297" s="58"/>
      <c r="Z297" s="30"/>
      <c r="AA297" s="58"/>
      <c r="AB297" s="30"/>
      <c r="AC297" s="58"/>
      <c r="AD297" s="30"/>
      <c r="AE297" s="58"/>
      <c r="AF297" s="55">
        <v>40000</v>
      </c>
      <c r="AG297" s="12">
        <f>+F297++H297++J297++L297++N297++P297++R297++T297++V297++X297++Z297++AB297++AD297+0</f>
        <v>0</v>
      </c>
      <c r="AH297" s="11">
        <f>G297+I297+K297+M297+O297+Q297+S297+U297+W297+Y297+AA297+AC297+AE297+0</f>
        <v>0</v>
      </c>
      <c r="AI297" s="6"/>
    </row>
    <row r="298" spans="1:35" x14ac:dyDescent="0.2">
      <c r="A298" s="4"/>
      <c r="B298" s="17">
        <v>290</v>
      </c>
      <c r="C298" s="41" t="s">
        <v>604</v>
      </c>
      <c r="D298" s="53"/>
      <c r="E298" s="15" t="s">
        <v>605</v>
      </c>
      <c r="F298" s="30"/>
      <c r="G298" s="31"/>
      <c r="H298" s="30"/>
      <c r="I298" s="58"/>
      <c r="J298" s="30"/>
      <c r="K298" s="58"/>
      <c r="L298" s="30"/>
      <c r="M298" s="58"/>
      <c r="N298" s="30"/>
      <c r="O298" s="58"/>
      <c r="P298" s="30"/>
      <c r="Q298" s="58"/>
      <c r="R298" s="30"/>
      <c r="S298" s="58"/>
      <c r="T298" s="30"/>
      <c r="U298" s="58"/>
      <c r="V298" s="30"/>
      <c r="W298" s="58"/>
      <c r="X298" s="30"/>
      <c r="Y298" s="58"/>
      <c r="Z298" s="30"/>
      <c r="AA298" s="58"/>
      <c r="AB298" s="30"/>
      <c r="AC298" s="58"/>
      <c r="AD298" s="30"/>
      <c r="AE298" s="58"/>
      <c r="AF298" s="55">
        <v>50000</v>
      </c>
      <c r="AG298" s="12">
        <f>+F298++H298++J298++L298++N298++P298++R298++T298++V298++X298++Z298++AB298++AD298+0</f>
        <v>0</v>
      </c>
      <c r="AH298" s="11">
        <f>G298+I298+K298+M298+O298+Q298+S298+U298+W298+Y298+AA298+AC298+AE298+0</f>
        <v>0</v>
      </c>
      <c r="AI298" s="6"/>
    </row>
    <row r="299" spans="1:35" x14ac:dyDescent="0.2">
      <c r="A299" s="4"/>
      <c r="B299" s="17">
        <v>291</v>
      </c>
      <c r="C299" s="41" t="s">
        <v>606</v>
      </c>
      <c r="D299" s="53"/>
      <c r="E299" s="15" t="s">
        <v>607</v>
      </c>
      <c r="F299" s="30"/>
      <c r="G299" s="31"/>
      <c r="H299" s="30"/>
      <c r="I299" s="58"/>
      <c r="J299" s="30"/>
      <c r="K299" s="58"/>
      <c r="L299" s="30"/>
      <c r="M299" s="58"/>
      <c r="N299" s="30"/>
      <c r="O299" s="58"/>
      <c r="P299" s="30"/>
      <c r="Q299" s="58"/>
      <c r="R299" s="30"/>
      <c r="S299" s="58"/>
      <c r="T299" s="30"/>
      <c r="U299" s="58"/>
      <c r="V299" s="30"/>
      <c r="W299" s="58"/>
      <c r="X299" s="30"/>
      <c r="Y299" s="58"/>
      <c r="Z299" s="30"/>
      <c r="AA299" s="58"/>
      <c r="AB299" s="30"/>
      <c r="AC299" s="58"/>
      <c r="AD299" s="30"/>
      <c r="AE299" s="58"/>
      <c r="AF299" s="55">
        <v>126000</v>
      </c>
      <c r="AG299" s="12">
        <f>+F299++H299++J299++L299++N299++P299++R299++T299++V299++X299++Z299++AB299++AD299+0</f>
        <v>0</v>
      </c>
      <c r="AH299" s="11">
        <f>G299+I299+K299+M299+O299+Q299+S299+U299+W299+Y299+AA299+AC299+AE299+0</f>
        <v>0</v>
      </c>
      <c r="AI299" s="6"/>
    </row>
    <row r="300" spans="1:35" x14ac:dyDescent="0.2">
      <c r="A300" s="4"/>
      <c r="B300" s="17">
        <v>292</v>
      </c>
      <c r="C300" s="41" t="s">
        <v>608</v>
      </c>
      <c r="D300" s="53"/>
      <c r="E300" s="15" t="s">
        <v>609</v>
      </c>
      <c r="F300" s="30"/>
      <c r="G300" s="31"/>
      <c r="H300" s="30"/>
      <c r="I300" s="58"/>
      <c r="J300" s="30"/>
      <c r="K300" s="58"/>
      <c r="L300" s="30"/>
      <c r="M300" s="58"/>
      <c r="N300" s="30"/>
      <c r="O300" s="58"/>
      <c r="P300" s="30"/>
      <c r="Q300" s="58"/>
      <c r="R300" s="30"/>
      <c r="S300" s="58"/>
      <c r="T300" s="30"/>
      <c r="U300" s="58"/>
      <c r="V300" s="30"/>
      <c r="W300" s="58"/>
      <c r="X300" s="30"/>
      <c r="Y300" s="58"/>
      <c r="Z300" s="30"/>
      <c r="AA300" s="58"/>
      <c r="AB300" s="30"/>
      <c r="AC300" s="58"/>
      <c r="AD300" s="30"/>
      <c r="AE300" s="58"/>
      <c r="AF300" s="55">
        <v>10000</v>
      </c>
      <c r="AG300" s="12">
        <f>+F300++H300++J300++L300++N300++P300++R300++T300++V300++X300++Z300++AB300++AD300+0</f>
        <v>0</v>
      </c>
      <c r="AH300" s="11">
        <f>G300+I300+K300+M300+O300+Q300+S300+U300+W300+Y300+AA300+AC300+AE300+0</f>
        <v>0</v>
      </c>
      <c r="AI300" s="6"/>
    </row>
    <row r="301" spans="1:35" x14ac:dyDescent="0.2">
      <c r="A301" s="4"/>
      <c r="B301" s="17">
        <v>293</v>
      </c>
      <c r="C301" s="41" t="s">
        <v>610</v>
      </c>
      <c r="D301" s="53"/>
      <c r="E301" s="15" t="s">
        <v>611</v>
      </c>
      <c r="F301" s="30"/>
      <c r="G301" s="31"/>
      <c r="H301" s="30"/>
      <c r="I301" s="58"/>
      <c r="J301" s="30"/>
      <c r="K301" s="58"/>
      <c r="L301" s="30"/>
      <c r="M301" s="58"/>
      <c r="N301" s="30"/>
      <c r="O301" s="58"/>
      <c r="P301" s="30"/>
      <c r="Q301" s="58"/>
      <c r="R301" s="30"/>
      <c r="S301" s="58"/>
      <c r="T301" s="30"/>
      <c r="U301" s="58"/>
      <c r="V301" s="30"/>
      <c r="W301" s="58"/>
      <c r="X301" s="30"/>
      <c r="Y301" s="58"/>
      <c r="Z301" s="30"/>
      <c r="AA301" s="58"/>
      <c r="AB301" s="30"/>
      <c r="AC301" s="58"/>
      <c r="AD301" s="30"/>
      <c r="AE301" s="58"/>
      <c r="AF301" s="55">
        <v>80000</v>
      </c>
      <c r="AG301" s="12">
        <f>+F301++H301++J301++L301++N301++P301++R301++T301++V301++X301++Z301++AB301++AD301+0</f>
        <v>0</v>
      </c>
      <c r="AH301" s="11">
        <f>G301+I301+K301+M301+O301+Q301+S301+U301+W301+Y301+AA301+AC301+AE301+0</f>
        <v>0</v>
      </c>
      <c r="AI301" s="6"/>
    </row>
    <row r="302" spans="1:35" x14ac:dyDescent="0.2">
      <c r="A302" s="4"/>
      <c r="B302" s="17">
        <v>294</v>
      </c>
      <c r="C302" s="41" t="s">
        <v>612</v>
      </c>
      <c r="D302" s="53"/>
      <c r="E302" s="15" t="s">
        <v>613</v>
      </c>
      <c r="F302" s="30"/>
      <c r="G302" s="31"/>
      <c r="H302" s="30"/>
      <c r="I302" s="58"/>
      <c r="J302" s="30"/>
      <c r="K302" s="58"/>
      <c r="L302" s="30"/>
      <c r="M302" s="58"/>
      <c r="N302" s="30"/>
      <c r="O302" s="58"/>
      <c r="P302" s="30"/>
      <c r="Q302" s="58"/>
      <c r="R302" s="30"/>
      <c r="S302" s="58"/>
      <c r="T302" s="30"/>
      <c r="U302" s="58"/>
      <c r="V302" s="30"/>
      <c r="W302" s="58"/>
      <c r="X302" s="30"/>
      <c r="Y302" s="58"/>
      <c r="Z302" s="30"/>
      <c r="AA302" s="58"/>
      <c r="AB302" s="30"/>
      <c r="AC302" s="58"/>
      <c r="AD302" s="30"/>
      <c r="AE302" s="58"/>
      <c r="AF302" s="55">
        <v>300000</v>
      </c>
      <c r="AG302" s="12">
        <f>+F302++H302++J302++L302++N302++P302++R302++T302++V302++X302++Z302++AB302++AD302+0</f>
        <v>0</v>
      </c>
      <c r="AH302" s="11">
        <f>G302+I302+K302+M302+O302+Q302+S302+U302+W302+Y302+AA302+AC302+AE302+0</f>
        <v>0</v>
      </c>
      <c r="AI302" s="6"/>
    </row>
    <row r="303" spans="1:35" x14ac:dyDescent="0.2">
      <c r="A303" s="4"/>
      <c r="B303" s="17">
        <v>295</v>
      </c>
      <c r="C303" s="41" t="s">
        <v>614</v>
      </c>
      <c r="D303" s="53"/>
      <c r="E303" s="15" t="s">
        <v>615</v>
      </c>
      <c r="F303" s="30"/>
      <c r="G303" s="31"/>
      <c r="H303" s="30"/>
      <c r="I303" s="58"/>
      <c r="J303" s="30"/>
      <c r="K303" s="58"/>
      <c r="L303" s="30"/>
      <c r="M303" s="58"/>
      <c r="N303" s="30"/>
      <c r="O303" s="58"/>
      <c r="P303" s="30"/>
      <c r="Q303" s="58"/>
      <c r="R303" s="30"/>
      <c r="S303" s="58"/>
      <c r="T303" s="30"/>
      <c r="U303" s="58"/>
      <c r="V303" s="30"/>
      <c r="W303" s="58"/>
      <c r="X303" s="30"/>
      <c r="Y303" s="58"/>
      <c r="Z303" s="30"/>
      <c r="AA303" s="58"/>
      <c r="AB303" s="30"/>
      <c r="AC303" s="58"/>
      <c r="AD303" s="30"/>
      <c r="AE303" s="58"/>
      <c r="AF303" s="55">
        <v>20000</v>
      </c>
      <c r="AG303" s="12">
        <f>+F303++H303++J303++L303++N303++P303++R303++T303++V303++X303++Z303++AB303++AD303+0</f>
        <v>0</v>
      </c>
      <c r="AH303" s="11">
        <f>G303+I303+K303+M303+O303+Q303+S303+U303+W303+Y303+AA303+AC303+AE303+0</f>
        <v>0</v>
      </c>
      <c r="AI303" s="6"/>
    </row>
    <row r="304" spans="1:35" x14ac:dyDescent="0.2">
      <c r="A304" s="4"/>
      <c r="B304" s="17">
        <v>296</v>
      </c>
      <c r="C304" s="41" t="s">
        <v>616</v>
      </c>
      <c r="D304" s="53"/>
      <c r="E304" s="15" t="s">
        <v>617</v>
      </c>
      <c r="F304" s="30"/>
      <c r="G304" s="31"/>
      <c r="H304" s="30"/>
      <c r="I304" s="58"/>
      <c r="J304" s="30"/>
      <c r="K304" s="58"/>
      <c r="L304" s="30"/>
      <c r="M304" s="58"/>
      <c r="N304" s="30"/>
      <c r="O304" s="58"/>
      <c r="P304" s="30"/>
      <c r="Q304" s="58"/>
      <c r="R304" s="30"/>
      <c r="S304" s="58"/>
      <c r="T304" s="30"/>
      <c r="U304" s="58"/>
      <c r="V304" s="30"/>
      <c r="W304" s="58"/>
      <c r="X304" s="30"/>
      <c r="Y304" s="58"/>
      <c r="Z304" s="30"/>
      <c r="AA304" s="58"/>
      <c r="AB304" s="30"/>
      <c r="AC304" s="58"/>
      <c r="AD304" s="30"/>
      <c r="AE304" s="58"/>
      <c r="AF304" s="55">
        <v>10000</v>
      </c>
      <c r="AG304" s="12">
        <f>+F304++H304++J304++L304++N304++P304++R304++T304++V304++X304++Z304++AB304++AD304+0</f>
        <v>0</v>
      </c>
      <c r="AH304" s="11">
        <f>G304+I304+K304+M304+O304+Q304+S304+U304+W304+Y304+AA304+AC304+AE304+0</f>
        <v>0</v>
      </c>
      <c r="AI304" s="6"/>
    </row>
    <row r="305" spans="1:35" x14ac:dyDescent="0.2">
      <c r="A305" s="4"/>
      <c r="B305" s="17">
        <v>297</v>
      </c>
      <c r="C305" s="41" t="s">
        <v>618</v>
      </c>
      <c r="D305" s="53"/>
      <c r="E305" s="15" t="s">
        <v>619</v>
      </c>
      <c r="F305" s="30"/>
      <c r="G305" s="31"/>
      <c r="H305" s="30"/>
      <c r="I305" s="58"/>
      <c r="J305" s="30"/>
      <c r="K305" s="58"/>
      <c r="L305" s="30"/>
      <c r="M305" s="58"/>
      <c r="N305" s="30"/>
      <c r="O305" s="58"/>
      <c r="P305" s="30"/>
      <c r="Q305" s="58"/>
      <c r="R305" s="30"/>
      <c r="S305" s="58"/>
      <c r="T305" s="30"/>
      <c r="U305" s="58"/>
      <c r="V305" s="30"/>
      <c r="W305" s="58"/>
      <c r="X305" s="30"/>
      <c r="Y305" s="58"/>
      <c r="Z305" s="30"/>
      <c r="AA305" s="58"/>
      <c r="AB305" s="30"/>
      <c r="AC305" s="58"/>
      <c r="AD305" s="30"/>
      <c r="AE305" s="58"/>
      <c r="AF305" s="55">
        <v>40000</v>
      </c>
      <c r="AG305" s="12">
        <f>+F305++H305++J305++L305++N305++P305++R305++T305++V305++X305++Z305++AB305++AD305+0</f>
        <v>0</v>
      </c>
      <c r="AH305" s="11">
        <f>G305+I305+K305+M305+O305+Q305+S305+U305+W305+Y305+AA305+AC305+AE305+0</f>
        <v>0</v>
      </c>
      <c r="AI305" s="6"/>
    </row>
    <row r="306" spans="1:35" x14ac:dyDescent="0.2">
      <c r="A306" s="4"/>
      <c r="B306" s="17">
        <v>298</v>
      </c>
      <c r="C306" s="41" t="s">
        <v>620</v>
      </c>
      <c r="D306" s="53"/>
      <c r="E306" s="15" t="s">
        <v>621</v>
      </c>
      <c r="F306" s="30"/>
      <c r="G306" s="31"/>
      <c r="H306" s="30"/>
      <c r="I306" s="58"/>
      <c r="J306" s="30"/>
      <c r="K306" s="58"/>
      <c r="L306" s="30"/>
      <c r="M306" s="58"/>
      <c r="N306" s="30"/>
      <c r="O306" s="58"/>
      <c r="P306" s="30"/>
      <c r="Q306" s="58"/>
      <c r="R306" s="30"/>
      <c r="S306" s="58"/>
      <c r="T306" s="30"/>
      <c r="U306" s="58"/>
      <c r="V306" s="30"/>
      <c r="W306" s="58"/>
      <c r="X306" s="30"/>
      <c r="Y306" s="58"/>
      <c r="Z306" s="30"/>
      <c r="AA306" s="58"/>
      <c r="AB306" s="30"/>
      <c r="AC306" s="58"/>
      <c r="AD306" s="30"/>
      <c r="AE306" s="58"/>
      <c r="AF306" s="55">
        <v>18000</v>
      </c>
      <c r="AG306" s="12">
        <f>+F306++H306++J306++L306++N306++P306++R306++T306++V306++X306++Z306++AB306++AD306+0</f>
        <v>0</v>
      </c>
      <c r="AH306" s="11">
        <f>G306+I306+K306+M306+O306+Q306+S306+U306+W306+Y306+AA306+AC306+AE306+0</f>
        <v>0</v>
      </c>
      <c r="AI306" s="6"/>
    </row>
    <row r="307" spans="1:35" x14ac:dyDescent="0.2">
      <c r="A307" s="4"/>
      <c r="B307" s="17">
        <v>299</v>
      </c>
      <c r="C307" s="41" t="s">
        <v>622</v>
      </c>
      <c r="D307" s="53"/>
      <c r="E307" s="15" t="s">
        <v>623</v>
      </c>
      <c r="F307" s="30"/>
      <c r="G307" s="31"/>
      <c r="H307" s="30"/>
      <c r="I307" s="58"/>
      <c r="J307" s="30"/>
      <c r="K307" s="58"/>
      <c r="L307" s="30"/>
      <c r="M307" s="58"/>
      <c r="N307" s="30"/>
      <c r="O307" s="58"/>
      <c r="P307" s="30"/>
      <c r="Q307" s="58"/>
      <c r="R307" s="30"/>
      <c r="S307" s="58"/>
      <c r="T307" s="30"/>
      <c r="U307" s="58"/>
      <c r="V307" s="30"/>
      <c r="W307" s="58"/>
      <c r="X307" s="30"/>
      <c r="Y307" s="58"/>
      <c r="Z307" s="30"/>
      <c r="AA307" s="58"/>
      <c r="AB307" s="30"/>
      <c r="AC307" s="58"/>
      <c r="AD307" s="30"/>
      <c r="AE307" s="58"/>
      <c r="AF307" s="55">
        <v>850000</v>
      </c>
      <c r="AG307" s="12">
        <f>+F307++H307++J307++L307++N307++P307++R307++T307++V307++X307++Z307++AB307++AD307+0</f>
        <v>0</v>
      </c>
      <c r="AH307" s="11">
        <f>G307+I307+K307+M307+O307+Q307+S307+U307+W307+Y307+AA307+AC307+AE307+0</f>
        <v>0</v>
      </c>
      <c r="AI307" s="6"/>
    </row>
    <row r="308" spans="1:35" x14ac:dyDescent="0.2">
      <c r="A308" s="4"/>
      <c r="B308" s="17">
        <v>300</v>
      </c>
      <c r="C308" s="41" t="s">
        <v>624</v>
      </c>
      <c r="D308" s="53"/>
      <c r="E308" s="15" t="s">
        <v>625</v>
      </c>
      <c r="F308" s="30"/>
      <c r="G308" s="31"/>
      <c r="H308" s="30"/>
      <c r="I308" s="58"/>
      <c r="J308" s="30"/>
      <c r="K308" s="58"/>
      <c r="L308" s="30"/>
      <c r="M308" s="58"/>
      <c r="N308" s="30"/>
      <c r="O308" s="58"/>
      <c r="P308" s="30"/>
      <c r="Q308" s="58"/>
      <c r="R308" s="30"/>
      <c r="S308" s="58"/>
      <c r="T308" s="30"/>
      <c r="U308" s="58"/>
      <c r="V308" s="30"/>
      <c r="W308" s="58"/>
      <c r="X308" s="30"/>
      <c r="Y308" s="58"/>
      <c r="Z308" s="30"/>
      <c r="AA308" s="58"/>
      <c r="AB308" s="30"/>
      <c r="AC308" s="58"/>
      <c r="AD308" s="30"/>
      <c r="AE308" s="58"/>
      <c r="AF308" s="55">
        <v>25000</v>
      </c>
      <c r="AG308" s="12">
        <f>+F308++H308++J308++L308++N308++P308++R308++T308++V308++X308++Z308++AB308++AD308+0</f>
        <v>0</v>
      </c>
      <c r="AH308" s="11">
        <f>G308+I308+K308+M308+O308+Q308+S308+U308+W308+Y308+AA308+AC308+AE308+0</f>
        <v>0</v>
      </c>
      <c r="AI308" s="6"/>
    </row>
    <row r="309" spans="1:35" x14ac:dyDescent="0.2">
      <c r="A309" s="4"/>
      <c r="B309" s="17">
        <v>301</v>
      </c>
      <c r="C309" s="41" t="s">
        <v>626</v>
      </c>
      <c r="D309" s="53"/>
      <c r="E309" s="15" t="s">
        <v>627</v>
      </c>
      <c r="F309" s="30"/>
      <c r="G309" s="31"/>
      <c r="H309" s="30"/>
      <c r="I309" s="58"/>
      <c r="J309" s="30"/>
      <c r="K309" s="58"/>
      <c r="L309" s="30"/>
      <c r="M309" s="58"/>
      <c r="N309" s="30"/>
      <c r="O309" s="58"/>
      <c r="P309" s="30"/>
      <c r="Q309" s="58"/>
      <c r="R309" s="30"/>
      <c r="S309" s="58"/>
      <c r="T309" s="30"/>
      <c r="U309" s="58"/>
      <c r="V309" s="30"/>
      <c r="W309" s="58"/>
      <c r="X309" s="30"/>
      <c r="Y309" s="58"/>
      <c r="Z309" s="30"/>
      <c r="AA309" s="58"/>
      <c r="AB309" s="30"/>
      <c r="AC309" s="58"/>
      <c r="AD309" s="30"/>
      <c r="AE309" s="58"/>
      <c r="AF309" s="55">
        <v>50000</v>
      </c>
      <c r="AG309" s="12">
        <f>+F309++H309++J309++L309++N309++P309++R309++T309++V309++X309++Z309++AB309++AD309+0</f>
        <v>0</v>
      </c>
      <c r="AH309" s="11">
        <f>G309+I309+K309+M309+O309+Q309+S309+U309+W309+Y309+AA309+AC309+AE309+0</f>
        <v>0</v>
      </c>
      <c r="AI309" s="6"/>
    </row>
    <row r="310" spans="1:35" x14ac:dyDescent="0.2">
      <c r="A310" s="4"/>
      <c r="B310" s="17">
        <v>302</v>
      </c>
      <c r="C310" s="41" t="s">
        <v>628</v>
      </c>
      <c r="D310" s="53"/>
      <c r="E310" s="15" t="s">
        <v>629</v>
      </c>
      <c r="F310" s="30"/>
      <c r="G310" s="31"/>
      <c r="H310" s="30"/>
      <c r="I310" s="58"/>
      <c r="J310" s="30"/>
      <c r="K310" s="58"/>
      <c r="L310" s="30"/>
      <c r="M310" s="58"/>
      <c r="N310" s="30"/>
      <c r="O310" s="58"/>
      <c r="P310" s="30"/>
      <c r="Q310" s="58"/>
      <c r="R310" s="30"/>
      <c r="S310" s="58"/>
      <c r="T310" s="30"/>
      <c r="U310" s="58"/>
      <c r="V310" s="30"/>
      <c r="W310" s="58"/>
      <c r="X310" s="30"/>
      <c r="Y310" s="58"/>
      <c r="Z310" s="30"/>
      <c r="AA310" s="58"/>
      <c r="AB310" s="30"/>
      <c r="AC310" s="58"/>
      <c r="AD310" s="30"/>
      <c r="AE310" s="58"/>
      <c r="AF310" s="55">
        <v>10000</v>
      </c>
      <c r="AG310" s="12">
        <f>+F310++H310++J310++L310++N310++P310++R310++T310++V310++X310++Z310++AB310++AD310+0</f>
        <v>0</v>
      </c>
      <c r="AH310" s="11">
        <f>G310+I310+K310+M310+O310+Q310+S310+U310+W310+Y310+AA310+AC310+AE310+0</f>
        <v>0</v>
      </c>
      <c r="AI310" s="6"/>
    </row>
    <row r="311" spans="1:35" x14ac:dyDescent="0.2">
      <c r="A311" s="4"/>
      <c r="B311" s="17">
        <v>303</v>
      </c>
      <c r="C311" s="41" t="s">
        <v>630</v>
      </c>
      <c r="D311" s="53"/>
      <c r="E311" s="15" t="s">
        <v>631</v>
      </c>
      <c r="F311" s="30"/>
      <c r="G311" s="31"/>
      <c r="H311" s="30"/>
      <c r="I311" s="58"/>
      <c r="J311" s="30"/>
      <c r="K311" s="58"/>
      <c r="L311" s="30"/>
      <c r="M311" s="58"/>
      <c r="N311" s="30"/>
      <c r="O311" s="58"/>
      <c r="P311" s="30"/>
      <c r="Q311" s="58"/>
      <c r="R311" s="30"/>
      <c r="S311" s="58"/>
      <c r="T311" s="30"/>
      <c r="U311" s="58"/>
      <c r="V311" s="30"/>
      <c r="W311" s="58"/>
      <c r="X311" s="30"/>
      <c r="Y311" s="58"/>
      <c r="Z311" s="30"/>
      <c r="AA311" s="58"/>
      <c r="AB311" s="30"/>
      <c r="AC311" s="58"/>
      <c r="AD311" s="30"/>
      <c r="AE311" s="58"/>
      <c r="AF311" s="55">
        <v>360000</v>
      </c>
      <c r="AG311" s="12">
        <f>+F311++H311++J311++L311++N311++P311++R311++T311++V311++X311++Z311++AB311++AD311+0</f>
        <v>0</v>
      </c>
      <c r="AH311" s="11">
        <f>G311+I311+K311+M311+O311+Q311+S311+U311+W311+Y311+AA311+AC311+AE311+0</f>
        <v>0</v>
      </c>
      <c r="AI311" s="6"/>
    </row>
    <row r="312" spans="1:35" x14ac:dyDescent="0.2">
      <c r="A312" s="4"/>
      <c r="B312" s="17">
        <v>304</v>
      </c>
      <c r="C312" s="41" t="s">
        <v>632</v>
      </c>
      <c r="D312" s="53"/>
      <c r="E312" s="15" t="s">
        <v>633</v>
      </c>
      <c r="F312" s="30"/>
      <c r="G312" s="31"/>
      <c r="H312" s="30"/>
      <c r="I312" s="58"/>
      <c r="J312" s="30"/>
      <c r="K312" s="58"/>
      <c r="L312" s="30"/>
      <c r="M312" s="58"/>
      <c r="N312" s="30"/>
      <c r="O312" s="58"/>
      <c r="P312" s="30"/>
      <c r="Q312" s="58"/>
      <c r="R312" s="30"/>
      <c r="S312" s="58"/>
      <c r="T312" s="30"/>
      <c r="U312" s="58"/>
      <c r="V312" s="30"/>
      <c r="W312" s="58"/>
      <c r="X312" s="30"/>
      <c r="Y312" s="58"/>
      <c r="Z312" s="30"/>
      <c r="AA312" s="58"/>
      <c r="AB312" s="30"/>
      <c r="AC312" s="58"/>
      <c r="AD312" s="30"/>
      <c r="AE312" s="58"/>
      <c r="AF312" s="55">
        <v>15000</v>
      </c>
      <c r="AG312" s="12">
        <f>+F312++H312++J312++L312++N312++P312++R312++T312++V312++X312++Z312++AB312++AD312+0</f>
        <v>0</v>
      </c>
      <c r="AH312" s="11">
        <f>G312+I312+K312+M312+O312+Q312+S312+U312+W312+Y312+AA312+AC312+AE312+0</f>
        <v>0</v>
      </c>
      <c r="AI312" s="6"/>
    </row>
    <row r="313" spans="1:35" x14ac:dyDescent="0.2">
      <c r="A313" s="4"/>
      <c r="B313" s="17">
        <v>305</v>
      </c>
      <c r="C313" s="41" t="s">
        <v>634</v>
      </c>
      <c r="D313" s="53"/>
      <c r="E313" s="15" t="s">
        <v>635</v>
      </c>
      <c r="F313" s="30"/>
      <c r="G313" s="31"/>
      <c r="H313" s="30"/>
      <c r="I313" s="58"/>
      <c r="J313" s="30"/>
      <c r="K313" s="58"/>
      <c r="L313" s="30"/>
      <c r="M313" s="58"/>
      <c r="N313" s="30"/>
      <c r="O313" s="58"/>
      <c r="P313" s="30"/>
      <c r="Q313" s="58"/>
      <c r="R313" s="30"/>
      <c r="S313" s="58"/>
      <c r="T313" s="30"/>
      <c r="U313" s="58"/>
      <c r="V313" s="30"/>
      <c r="W313" s="58"/>
      <c r="X313" s="30"/>
      <c r="Y313" s="58"/>
      <c r="Z313" s="30"/>
      <c r="AA313" s="58"/>
      <c r="AB313" s="30"/>
      <c r="AC313" s="58"/>
      <c r="AD313" s="30"/>
      <c r="AE313" s="58"/>
      <c r="AF313" s="55">
        <v>60000</v>
      </c>
      <c r="AG313" s="12">
        <f>+F313++H313++J313++L313++N313++P313++R313++T313++V313++X313++Z313++AB313++AD313+0</f>
        <v>0</v>
      </c>
      <c r="AH313" s="11">
        <f>G313+I313+K313+M313+O313+Q313+S313+U313+W313+Y313+AA313+AC313+AE313+0</f>
        <v>0</v>
      </c>
      <c r="AI313" s="6"/>
    </row>
    <row r="314" spans="1:35" x14ac:dyDescent="0.2">
      <c r="A314" s="4"/>
      <c r="B314" s="17">
        <v>306</v>
      </c>
      <c r="C314" s="41" t="s">
        <v>636</v>
      </c>
      <c r="D314" s="53"/>
      <c r="E314" s="15" t="s">
        <v>637</v>
      </c>
      <c r="F314" s="30"/>
      <c r="G314" s="31"/>
      <c r="H314" s="30"/>
      <c r="I314" s="58"/>
      <c r="J314" s="30"/>
      <c r="K314" s="58"/>
      <c r="L314" s="30"/>
      <c r="M314" s="58"/>
      <c r="N314" s="30"/>
      <c r="O314" s="58"/>
      <c r="P314" s="30"/>
      <c r="Q314" s="58"/>
      <c r="R314" s="30"/>
      <c r="S314" s="58"/>
      <c r="T314" s="30"/>
      <c r="U314" s="58"/>
      <c r="V314" s="30"/>
      <c r="W314" s="58"/>
      <c r="X314" s="30"/>
      <c r="Y314" s="58"/>
      <c r="Z314" s="30"/>
      <c r="AA314" s="58"/>
      <c r="AB314" s="30"/>
      <c r="AC314" s="58"/>
      <c r="AD314" s="30"/>
      <c r="AE314" s="58"/>
      <c r="AF314" s="55">
        <v>58000</v>
      </c>
      <c r="AG314" s="12">
        <f>+F314++H314++J314++L314++N314++P314++R314++T314++V314++X314++Z314++AB314++AD314+0</f>
        <v>0</v>
      </c>
      <c r="AH314" s="11">
        <f>G314+I314+K314+M314+O314+Q314+S314+U314+W314+Y314+AA314+AC314+AE314+0</f>
        <v>0</v>
      </c>
      <c r="AI314" s="6"/>
    </row>
    <row r="315" spans="1:35" x14ac:dyDescent="0.2">
      <c r="A315" s="4"/>
      <c r="B315" s="17">
        <v>307</v>
      </c>
      <c r="C315" s="41" t="s">
        <v>638</v>
      </c>
      <c r="D315" s="53"/>
      <c r="E315" s="15" t="s">
        <v>639</v>
      </c>
      <c r="F315" s="30"/>
      <c r="G315" s="31"/>
      <c r="H315" s="30"/>
      <c r="I315" s="58"/>
      <c r="J315" s="30"/>
      <c r="K315" s="58"/>
      <c r="L315" s="30"/>
      <c r="M315" s="58"/>
      <c r="N315" s="30"/>
      <c r="O315" s="58"/>
      <c r="P315" s="30"/>
      <c r="Q315" s="58"/>
      <c r="R315" s="30"/>
      <c r="S315" s="58"/>
      <c r="T315" s="30"/>
      <c r="U315" s="58"/>
      <c r="V315" s="30"/>
      <c r="W315" s="58"/>
      <c r="X315" s="30"/>
      <c r="Y315" s="58"/>
      <c r="Z315" s="30"/>
      <c r="AA315" s="58"/>
      <c r="AB315" s="30"/>
      <c r="AC315" s="58"/>
      <c r="AD315" s="30"/>
      <c r="AE315" s="58"/>
      <c r="AF315" s="55">
        <v>100000</v>
      </c>
      <c r="AG315" s="12">
        <f>+F315++H315++J315++L315++N315++P315++R315++T315++V315++X315++Z315++AB315++AD315+0</f>
        <v>0</v>
      </c>
      <c r="AH315" s="11">
        <f>G315+I315+K315+M315+O315+Q315+S315+U315+W315+Y315+AA315+AC315+AE315+0</f>
        <v>0</v>
      </c>
      <c r="AI315" s="6"/>
    </row>
    <row r="316" spans="1:35" x14ac:dyDescent="0.2">
      <c r="A316" s="4"/>
      <c r="B316" s="17">
        <v>308</v>
      </c>
      <c r="C316" s="41" t="s">
        <v>640</v>
      </c>
      <c r="D316" s="53"/>
      <c r="E316" s="15" t="s">
        <v>641</v>
      </c>
      <c r="F316" s="30"/>
      <c r="G316" s="31"/>
      <c r="H316" s="30"/>
      <c r="I316" s="58"/>
      <c r="J316" s="30"/>
      <c r="K316" s="58"/>
      <c r="L316" s="30"/>
      <c r="M316" s="58"/>
      <c r="N316" s="30"/>
      <c r="O316" s="58"/>
      <c r="P316" s="30"/>
      <c r="Q316" s="58"/>
      <c r="R316" s="30"/>
      <c r="S316" s="58"/>
      <c r="T316" s="30"/>
      <c r="U316" s="58"/>
      <c r="V316" s="30"/>
      <c r="W316" s="58"/>
      <c r="X316" s="30"/>
      <c r="Y316" s="58"/>
      <c r="Z316" s="30"/>
      <c r="AA316" s="58"/>
      <c r="AB316" s="30"/>
      <c r="AC316" s="58"/>
      <c r="AD316" s="30"/>
      <c r="AE316" s="58"/>
      <c r="AF316" s="55">
        <v>25000</v>
      </c>
      <c r="AG316" s="12">
        <f>+F316++H316++J316++L316++N316++P316++R316++T316++V316++X316++Z316++AB316++AD316+0</f>
        <v>0</v>
      </c>
      <c r="AH316" s="11">
        <f>G316+I316+K316+M316+O316+Q316+S316+U316+W316+Y316+AA316+AC316+AE316+0</f>
        <v>0</v>
      </c>
      <c r="AI316" s="6"/>
    </row>
    <row r="317" spans="1:35" x14ac:dyDescent="0.2">
      <c r="A317" s="4"/>
      <c r="B317" s="17">
        <v>309</v>
      </c>
      <c r="C317" s="41" t="s">
        <v>642</v>
      </c>
      <c r="D317" s="53"/>
      <c r="E317" s="15" t="s">
        <v>643</v>
      </c>
      <c r="F317" s="30"/>
      <c r="G317" s="31"/>
      <c r="H317" s="30"/>
      <c r="I317" s="58"/>
      <c r="J317" s="30"/>
      <c r="K317" s="58"/>
      <c r="L317" s="30"/>
      <c r="M317" s="58"/>
      <c r="N317" s="30"/>
      <c r="O317" s="58"/>
      <c r="P317" s="30"/>
      <c r="Q317" s="58"/>
      <c r="R317" s="30"/>
      <c r="S317" s="58"/>
      <c r="T317" s="30"/>
      <c r="U317" s="58"/>
      <c r="V317" s="30"/>
      <c r="W317" s="58"/>
      <c r="X317" s="30"/>
      <c r="Y317" s="58"/>
      <c r="Z317" s="30"/>
      <c r="AA317" s="58"/>
      <c r="AB317" s="30"/>
      <c r="AC317" s="58"/>
      <c r="AD317" s="30"/>
      <c r="AE317" s="58"/>
      <c r="AF317" s="55">
        <v>40000</v>
      </c>
      <c r="AG317" s="12">
        <f>+F317++H317++J317++L317++N317++P317++R317++T317++V317++X317++Z317++AB317++AD317+0</f>
        <v>0</v>
      </c>
      <c r="AH317" s="11">
        <f>G317+I317+K317+M317+O317+Q317+S317+U317+W317+Y317+AA317+AC317+AE317+0</f>
        <v>0</v>
      </c>
      <c r="AI317" s="6"/>
    </row>
    <row r="318" spans="1:35" x14ac:dyDescent="0.2">
      <c r="A318" s="4"/>
      <c r="B318" s="17">
        <v>310</v>
      </c>
      <c r="C318" s="41" t="s">
        <v>644</v>
      </c>
      <c r="D318" s="53"/>
      <c r="E318" s="15" t="s">
        <v>645</v>
      </c>
      <c r="F318" s="30"/>
      <c r="G318" s="31"/>
      <c r="H318" s="30"/>
      <c r="I318" s="58"/>
      <c r="J318" s="30"/>
      <c r="K318" s="58"/>
      <c r="L318" s="30"/>
      <c r="M318" s="58"/>
      <c r="N318" s="30"/>
      <c r="O318" s="58"/>
      <c r="P318" s="30"/>
      <c r="Q318" s="58"/>
      <c r="R318" s="30"/>
      <c r="S318" s="58"/>
      <c r="T318" s="30"/>
      <c r="U318" s="58"/>
      <c r="V318" s="30"/>
      <c r="W318" s="58"/>
      <c r="X318" s="30"/>
      <c r="Y318" s="58"/>
      <c r="Z318" s="30"/>
      <c r="AA318" s="58"/>
      <c r="AB318" s="30"/>
      <c r="AC318" s="58"/>
      <c r="AD318" s="30"/>
      <c r="AE318" s="58"/>
      <c r="AF318" s="55">
        <v>29000</v>
      </c>
      <c r="AG318" s="12">
        <f>+F318++H318++J318++L318++N318++P318++R318++T318++V318++X318++Z318++AB318++AD318+0</f>
        <v>0</v>
      </c>
      <c r="AH318" s="11">
        <f>G318+I318+K318+M318+O318+Q318+S318+U318+W318+Y318+AA318+AC318+AE318+0</f>
        <v>0</v>
      </c>
      <c r="AI318" s="6"/>
    </row>
    <row r="319" spans="1:35" x14ac:dyDescent="0.2">
      <c r="A319" s="4"/>
      <c r="B319" s="17">
        <v>311</v>
      </c>
      <c r="C319" s="41" t="s">
        <v>646</v>
      </c>
      <c r="D319" s="53"/>
      <c r="E319" s="15" t="s">
        <v>647</v>
      </c>
      <c r="F319" s="30"/>
      <c r="G319" s="31"/>
      <c r="H319" s="30"/>
      <c r="I319" s="58"/>
      <c r="J319" s="30"/>
      <c r="K319" s="58"/>
      <c r="L319" s="30"/>
      <c r="M319" s="58"/>
      <c r="N319" s="30"/>
      <c r="O319" s="58"/>
      <c r="P319" s="30"/>
      <c r="Q319" s="58"/>
      <c r="R319" s="30"/>
      <c r="S319" s="58"/>
      <c r="T319" s="30"/>
      <c r="U319" s="58"/>
      <c r="V319" s="30"/>
      <c r="W319" s="58"/>
      <c r="X319" s="30"/>
      <c r="Y319" s="58"/>
      <c r="Z319" s="30"/>
      <c r="AA319" s="58"/>
      <c r="AB319" s="30"/>
      <c r="AC319" s="58"/>
      <c r="AD319" s="30"/>
      <c r="AE319" s="58"/>
      <c r="AF319" s="55">
        <v>60000</v>
      </c>
      <c r="AG319" s="12">
        <f>+F319++H319++J319++L319++N319++P319++R319++T319++V319++X319++Z319++AB319++AD319+0</f>
        <v>0</v>
      </c>
      <c r="AH319" s="11">
        <f>G319+I319+K319+M319+O319+Q319+S319+U319+W319+Y319+AA319+AC319+AE319+0</f>
        <v>0</v>
      </c>
      <c r="AI319" s="6"/>
    </row>
    <row r="320" spans="1:35" x14ac:dyDescent="0.2">
      <c r="A320" s="4"/>
      <c r="B320" s="17">
        <v>312</v>
      </c>
      <c r="C320" s="41" t="s">
        <v>648</v>
      </c>
      <c r="D320" s="53"/>
      <c r="E320" s="15" t="s">
        <v>649</v>
      </c>
      <c r="F320" s="30"/>
      <c r="G320" s="31"/>
      <c r="H320" s="30"/>
      <c r="I320" s="58"/>
      <c r="J320" s="30"/>
      <c r="K320" s="58"/>
      <c r="L320" s="30"/>
      <c r="M320" s="58"/>
      <c r="N320" s="30"/>
      <c r="O320" s="58"/>
      <c r="P320" s="30"/>
      <c r="Q320" s="58"/>
      <c r="R320" s="30"/>
      <c r="S320" s="58"/>
      <c r="T320" s="30"/>
      <c r="U320" s="58"/>
      <c r="V320" s="30"/>
      <c r="W320" s="58"/>
      <c r="X320" s="30"/>
      <c r="Y320" s="58"/>
      <c r="Z320" s="30"/>
      <c r="AA320" s="58"/>
      <c r="AB320" s="30"/>
      <c r="AC320" s="58"/>
      <c r="AD320" s="30"/>
      <c r="AE320" s="58"/>
      <c r="AF320" s="55">
        <v>20000</v>
      </c>
      <c r="AG320" s="12">
        <f>+F320++H320++J320++L320++N320++P320++R320++T320++V320++X320++Z320++AB320++AD320+0</f>
        <v>0</v>
      </c>
      <c r="AH320" s="11">
        <f>G320+I320+K320+M320+O320+Q320+S320+U320+W320+Y320+AA320+AC320+AE320+0</f>
        <v>0</v>
      </c>
      <c r="AI320" s="6"/>
    </row>
    <row r="321" spans="1:35" x14ac:dyDescent="0.2">
      <c r="A321" s="4"/>
      <c r="B321" s="17">
        <v>313</v>
      </c>
      <c r="C321" s="41" t="s">
        <v>650</v>
      </c>
      <c r="D321" s="53"/>
      <c r="E321" s="15" t="s">
        <v>651</v>
      </c>
      <c r="F321" s="30"/>
      <c r="G321" s="31"/>
      <c r="H321" s="30"/>
      <c r="I321" s="58"/>
      <c r="J321" s="30"/>
      <c r="K321" s="58"/>
      <c r="L321" s="30"/>
      <c r="M321" s="58"/>
      <c r="N321" s="30"/>
      <c r="O321" s="58"/>
      <c r="P321" s="30"/>
      <c r="Q321" s="58"/>
      <c r="R321" s="30"/>
      <c r="S321" s="58"/>
      <c r="T321" s="30"/>
      <c r="U321" s="58"/>
      <c r="V321" s="30"/>
      <c r="W321" s="58"/>
      <c r="X321" s="30"/>
      <c r="Y321" s="58"/>
      <c r="Z321" s="30"/>
      <c r="AA321" s="58"/>
      <c r="AB321" s="30"/>
      <c r="AC321" s="58"/>
      <c r="AD321" s="30"/>
      <c r="AE321" s="58"/>
      <c r="AF321" s="55">
        <v>100000</v>
      </c>
      <c r="AG321" s="12">
        <f>+F321++H321++J321++L321++N321++P321++R321++T321++V321++X321++Z321++AB321++AD321+0</f>
        <v>0</v>
      </c>
      <c r="AH321" s="11">
        <f>G321+I321+K321+M321+O321+Q321+S321+U321+W321+Y321+AA321+AC321+AE321+0</f>
        <v>0</v>
      </c>
      <c r="AI321" s="6"/>
    </row>
    <row r="322" spans="1:35" x14ac:dyDescent="0.2">
      <c r="A322" s="4"/>
      <c r="B322" s="17">
        <v>314</v>
      </c>
      <c r="C322" s="41" t="s">
        <v>652</v>
      </c>
      <c r="D322" s="53"/>
      <c r="E322" s="15" t="s">
        <v>653</v>
      </c>
      <c r="F322" s="30"/>
      <c r="G322" s="31"/>
      <c r="H322" s="30"/>
      <c r="I322" s="58"/>
      <c r="J322" s="30"/>
      <c r="K322" s="58"/>
      <c r="L322" s="30"/>
      <c r="M322" s="58"/>
      <c r="N322" s="30"/>
      <c r="O322" s="58"/>
      <c r="P322" s="30"/>
      <c r="Q322" s="58"/>
      <c r="R322" s="30"/>
      <c r="S322" s="58"/>
      <c r="T322" s="30"/>
      <c r="U322" s="58"/>
      <c r="V322" s="30"/>
      <c r="W322" s="58"/>
      <c r="X322" s="30"/>
      <c r="Y322" s="58"/>
      <c r="Z322" s="30"/>
      <c r="AA322" s="58"/>
      <c r="AB322" s="30"/>
      <c r="AC322" s="58"/>
      <c r="AD322" s="30"/>
      <c r="AE322" s="58"/>
      <c r="AF322" s="55">
        <v>10000</v>
      </c>
      <c r="AG322" s="12">
        <f>+F322++H322++J322++L322++N322++P322++R322++T322++V322++X322++Z322++AB322++AD322+0</f>
        <v>0</v>
      </c>
      <c r="AH322" s="11">
        <f>G322+I322+K322+M322+O322+Q322+S322+U322+W322+Y322+AA322+AC322+AE322+0</f>
        <v>0</v>
      </c>
      <c r="AI322" s="6"/>
    </row>
    <row r="323" spans="1:35" x14ac:dyDescent="0.2">
      <c r="A323" s="4"/>
      <c r="B323" s="17">
        <v>315</v>
      </c>
      <c r="C323" s="41" t="s">
        <v>654</v>
      </c>
      <c r="D323" s="53"/>
      <c r="E323" s="15" t="s">
        <v>655</v>
      </c>
      <c r="F323" s="30"/>
      <c r="G323" s="31"/>
      <c r="H323" s="30"/>
      <c r="I323" s="58"/>
      <c r="J323" s="30"/>
      <c r="K323" s="58"/>
      <c r="L323" s="30"/>
      <c r="M323" s="58"/>
      <c r="N323" s="30"/>
      <c r="O323" s="58"/>
      <c r="P323" s="30"/>
      <c r="Q323" s="58"/>
      <c r="R323" s="30"/>
      <c r="S323" s="58"/>
      <c r="T323" s="30"/>
      <c r="U323" s="58"/>
      <c r="V323" s="30"/>
      <c r="W323" s="58"/>
      <c r="X323" s="30"/>
      <c r="Y323" s="58"/>
      <c r="Z323" s="30"/>
      <c r="AA323" s="58"/>
      <c r="AB323" s="30"/>
      <c r="AC323" s="58"/>
      <c r="AD323" s="30"/>
      <c r="AE323" s="58"/>
      <c r="AF323" s="55">
        <v>15000</v>
      </c>
      <c r="AG323" s="12">
        <f>+F323++H323++J323++L323++N323++P323++R323++T323++V323++X323++Z323++AB323++AD323+0</f>
        <v>0</v>
      </c>
      <c r="AH323" s="11">
        <f>G323+I323+K323+M323+O323+Q323+S323+U323+W323+Y323+AA323+AC323+AE323+0</f>
        <v>0</v>
      </c>
      <c r="AI323" s="6"/>
    </row>
    <row r="324" spans="1:35" x14ac:dyDescent="0.2">
      <c r="A324" s="4"/>
      <c r="B324" s="17">
        <v>316</v>
      </c>
      <c r="C324" s="41" t="s">
        <v>656</v>
      </c>
      <c r="D324" s="53"/>
      <c r="E324" s="15" t="s">
        <v>657</v>
      </c>
      <c r="F324" s="30"/>
      <c r="G324" s="31"/>
      <c r="H324" s="30"/>
      <c r="I324" s="58"/>
      <c r="J324" s="30"/>
      <c r="K324" s="58"/>
      <c r="L324" s="30"/>
      <c r="M324" s="58"/>
      <c r="N324" s="30"/>
      <c r="O324" s="58"/>
      <c r="P324" s="30"/>
      <c r="Q324" s="58"/>
      <c r="R324" s="30"/>
      <c r="S324" s="58"/>
      <c r="T324" s="30"/>
      <c r="U324" s="58"/>
      <c r="V324" s="30"/>
      <c r="W324" s="58"/>
      <c r="X324" s="30"/>
      <c r="Y324" s="58"/>
      <c r="Z324" s="30"/>
      <c r="AA324" s="58"/>
      <c r="AB324" s="30"/>
      <c r="AC324" s="58"/>
      <c r="AD324" s="30"/>
      <c r="AE324" s="58"/>
      <c r="AF324" s="55">
        <v>110000</v>
      </c>
      <c r="AG324" s="12">
        <f>+F324++H324++J324++L324++N324++P324++R324++T324++V324++X324++Z324++AB324++AD324+0</f>
        <v>0</v>
      </c>
      <c r="AH324" s="11">
        <f>G324+I324+K324+M324+O324+Q324+S324+U324+W324+Y324+AA324+AC324+AE324+0</f>
        <v>0</v>
      </c>
      <c r="AI324" s="6"/>
    </row>
    <row r="325" spans="1:35" x14ac:dyDescent="0.2">
      <c r="A325" s="4"/>
      <c r="B325" s="17">
        <v>317</v>
      </c>
      <c r="C325" s="41" t="s">
        <v>658</v>
      </c>
      <c r="D325" s="53"/>
      <c r="E325" s="15" t="s">
        <v>659</v>
      </c>
      <c r="F325" s="30"/>
      <c r="G325" s="31"/>
      <c r="H325" s="30"/>
      <c r="I325" s="58"/>
      <c r="J325" s="30"/>
      <c r="K325" s="58"/>
      <c r="L325" s="30"/>
      <c r="M325" s="58"/>
      <c r="N325" s="30"/>
      <c r="O325" s="58"/>
      <c r="P325" s="30"/>
      <c r="Q325" s="58"/>
      <c r="R325" s="30"/>
      <c r="S325" s="58"/>
      <c r="T325" s="30"/>
      <c r="U325" s="58"/>
      <c r="V325" s="30"/>
      <c r="W325" s="58"/>
      <c r="X325" s="30"/>
      <c r="Y325" s="58"/>
      <c r="Z325" s="30"/>
      <c r="AA325" s="58"/>
      <c r="AB325" s="30"/>
      <c r="AC325" s="58"/>
      <c r="AD325" s="30"/>
      <c r="AE325" s="58"/>
      <c r="AF325" s="55">
        <v>450000</v>
      </c>
      <c r="AG325" s="12">
        <f>+F325++H325++J325++L325++N325++P325++R325++T325++V325++X325++Z325++AB325++AD325+0</f>
        <v>0</v>
      </c>
      <c r="AH325" s="11">
        <f>G325+I325+K325+M325+O325+Q325+S325+U325+W325+Y325+AA325+AC325+AE325+0</f>
        <v>0</v>
      </c>
      <c r="AI325" s="6"/>
    </row>
    <row r="326" spans="1:35" x14ac:dyDescent="0.2">
      <c r="A326" s="4"/>
      <c r="B326" s="17">
        <v>318</v>
      </c>
      <c r="C326" s="41" t="s">
        <v>660</v>
      </c>
      <c r="D326" s="53"/>
      <c r="E326" s="15" t="s">
        <v>661</v>
      </c>
      <c r="F326" s="30"/>
      <c r="G326" s="31"/>
      <c r="H326" s="30"/>
      <c r="I326" s="58"/>
      <c r="J326" s="30"/>
      <c r="K326" s="58"/>
      <c r="L326" s="30"/>
      <c r="M326" s="58"/>
      <c r="N326" s="30"/>
      <c r="O326" s="58"/>
      <c r="P326" s="30"/>
      <c r="Q326" s="58"/>
      <c r="R326" s="30"/>
      <c r="S326" s="58"/>
      <c r="T326" s="30"/>
      <c r="U326" s="58"/>
      <c r="V326" s="30"/>
      <c r="W326" s="58"/>
      <c r="X326" s="30"/>
      <c r="Y326" s="58"/>
      <c r="Z326" s="30"/>
      <c r="AA326" s="58"/>
      <c r="AB326" s="30"/>
      <c r="AC326" s="58"/>
      <c r="AD326" s="30"/>
      <c r="AE326" s="58"/>
      <c r="AF326" s="55">
        <v>200000</v>
      </c>
      <c r="AG326" s="12">
        <f>+F326++H326++J326++L326++N326++P326++R326++T326++V326++X326++Z326++AB326++AD326+0</f>
        <v>0</v>
      </c>
      <c r="AH326" s="11">
        <f>G326+I326+K326+M326+O326+Q326+S326+U326+W326+Y326+AA326+AC326+AE326+0</f>
        <v>0</v>
      </c>
      <c r="AI326" s="6"/>
    </row>
    <row r="327" spans="1:35" x14ac:dyDescent="0.2">
      <c r="A327" s="4"/>
      <c r="B327" s="17">
        <v>319</v>
      </c>
      <c r="C327" s="41" t="s">
        <v>662</v>
      </c>
      <c r="D327" s="53"/>
      <c r="E327" s="15" t="s">
        <v>663</v>
      </c>
      <c r="F327" s="30"/>
      <c r="G327" s="31"/>
      <c r="H327" s="30"/>
      <c r="I327" s="58"/>
      <c r="J327" s="30"/>
      <c r="K327" s="58"/>
      <c r="L327" s="30"/>
      <c r="M327" s="58"/>
      <c r="N327" s="30"/>
      <c r="O327" s="58"/>
      <c r="P327" s="30"/>
      <c r="Q327" s="58"/>
      <c r="R327" s="30"/>
      <c r="S327" s="58"/>
      <c r="T327" s="30"/>
      <c r="U327" s="58"/>
      <c r="V327" s="30"/>
      <c r="W327" s="58"/>
      <c r="X327" s="30"/>
      <c r="Y327" s="58"/>
      <c r="Z327" s="30"/>
      <c r="AA327" s="58"/>
      <c r="AB327" s="30"/>
      <c r="AC327" s="58"/>
      <c r="AD327" s="30"/>
      <c r="AE327" s="58"/>
      <c r="AF327" s="55">
        <v>60000</v>
      </c>
      <c r="AG327" s="12">
        <f>+F327++H327++J327++L327++N327++P327++R327++T327++V327++X327++Z327++AB327++AD327+0</f>
        <v>0</v>
      </c>
      <c r="AH327" s="11">
        <f>G327+I327+K327+M327+O327+Q327+S327+U327+W327+Y327+AA327+AC327+AE327+0</f>
        <v>0</v>
      </c>
      <c r="AI327" s="6"/>
    </row>
    <row r="328" spans="1:35" x14ac:dyDescent="0.2">
      <c r="A328" s="4"/>
      <c r="B328" s="17">
        <v>320</v>
      </c>
      <c r="C328" s="41" t="s">
        <v>664</v>
      </c>
      <c r="D328" s="53"/>
      <c r="E328" s="15" t="s">
        <v>665</v>
      </c>
      <c r="F328" s="30"/>
      <c r="G328" s="31"/>
      <c r="H328" s="30"/>
      <c r="I328" s="58"/>
      <c r="J328" s="30"/>
      <c r="K328" s="58"/>
      <c r="L328" s="30"/>
      <c r="M328" s="58"/>
      <c r="N328" s="30"/>
      <c r="O328" s="58"/>
      <c r="P328" s="30"/>
      <c r="Q328" s="58"/>
      <c r="R328" s="30"/>
      <c r="S328" s="58"/>
      <c r="T328" s="30"/>
      <c r="U328" s="58"/>
      <c r="V328" s="30"/>
      <c r="W328" s="58"/>
      <c r="X328" s="30"/>
      <c r="Y328" s="58"/>
      <c r="Z328" s="30"/>
      <c r="AA328" s="58"/>
      <c r="AB328" s="30"/>
      <c r="AC328" s="58"/>
      <c r="AD328" s="30"/>
      <c r="AE328" s="58"/>
      <c r="AF328" s="55">
        <v>4000</v>
      </c>
      <c r="AG328" s="12">
        <f>+F328++H328++J328++L328++N328++P328++R328++T328++V328++X328++Z328++AB328++AD328+0</f>
        <v>0</v>
      </c>
      <c r="AH328" s="11">
        <f>G328+I328+K328+M328+O328+Q328+S328+U328+W328+Y328+AA328+AC328+AE328+0</f>
        <v>0</v>
      </c>
      <c r="AI328" s="6"/>
    </row>
    <row r="329" spans="1:35" x14ac:dyDescent="0.2">
      <c r="A329" s="4"/>
      <c r="B329" s="17">
        <v>321</v>
      </c>
      <c r="C329" s="41" t="s">
        <v>666</v>
      </c>
      <c r="D329" s="53"/>
      <c r="E329" s="15" t="s">
        <v>667</v>
      </c>
      <c r="F329" s="30"/>
      <c r="G329" s="31"/>
      <c r="H329" s="30"/>
      <c r="I329" s="58"/>
      <c r="J329" s="30"/>
      <c r="K329" s="58"/>
      <c r="L329" s="30"/>
      <c r="M329" s="58"/>
      <c r="N329" s="30"/>
      <c r="O329" s="58"/>
      <c r="P329" s="30"/>
      <c r="Q329" s="58"/>
      <c r="R329" s="30"/>
      <c r="S329" s="58"/>
      <c r="T329" s="30"/>
      <c r="U329" s="58"/>
      <c r="V329" s="30"/>
      <c r="W329" s="58"/>
      <c r="X329" s="30"/>
      <c r="Y329" s="58"/>
      <c r="Z329" s="30"/>
      <c r="AA329" s="58"/>
      <c r="AB329" s="30"/>
      <c r="AC329" s="58"/>
      <c r="AD329" s="30"/>
      <c r="AE329" s="58"/>
      <c r="AF329" s="55">
        <v>3455.22</v>
      </c>
      <c r="AG329" s="12">
        <f>+F329++H329++J329++L329++N329++P329++R329++T329++V329++X329++Z329++AB329++AD329+0</f>
        <v>0</v>
      </c>
      <c r="AH329" s="11">
        <f>G329+I329+K329+M329+O329+Q329+S329+U329+W329+Y329+AA329+AC329+AE329+0</f>
        <v>0</v>
      </c>
      <c r="AI329" s="6"/>
    </row>
    <row r="330" spans="1:35" x14ac:dyDescent="0.2">
      <c r="A330" s="4"/>
      <c r="B330" s="17">
        <v>322</v>
      </c>
      <c r="C330" s="41" t="s">
        <v>668</v>
      </c>
      <c r="D330" s="53"/>
      <c r="E330" s="15" t="s">
        <v>669</v>
      </c>
      <c r="F330" s="30"/>
      <c r="G330" s="31"/>
      <c r="H330" s="30"/>
      <c r="I330" s="58"/>
      <c r="J330" s="30"/>
      <c r="K330" s="58"/>
      <c r="L330" s="30"/>
      <c r="M330" s="58"/>
      <c r="N330" s="30"/>
      <c r="O330" s="58"/>
      <c r="P330" s="30"/>
      <c r="Q330" s="58"/>
      <c r="R330" s="30"/>
      <c r="S330" s="58"/>
      <c r="T330" s="30"/>
      <c r="U330" s="58"/>
      <c r="V330" s="30"/>
      <c r="W330" s="58"/>
      <c r="X330" s="30"/>
      <c r="Y330" s="58"/>
      <c r="Z330" s="30"/>
      <c r="AA330" s="58"/>
      <c r="AB330" s="30"/>
      <c r="AC330" s="58"/>
      <c r="AD330" s="30"/>
      <c r="AE330" s="58"/>
      <c r="AF330" s="55">
        <v>250000</v>
      </c>
      <c r="AG330" s="12">
        <f>+F330++H330++J330++L330++N330++P330++R330++T330++V330++X330++Z330++AB330++AD330+0</f>
        <v>0</v>
      </c>
      <c r="AH330" s="11">
        <f>G330+I330+K330+M330+O330+Q330+S330+U330+W330+Y330+AA330+AC330+AE330+0</f>
        <v>0</v>
      </c>
      <c r="AI330" s="6"/>
    </row>
    <row r="331" spans="1:35" x14ac:dyDescent="0.2">
      <c r="A331" s="4"/>
      <c r="B331" s="17">
        <v>323</v>
      </c>
      <c r="C331" s="41" t="s">
        <v>670</v>
      </c>
      <c r="D331" s="53"/>
      <c r="E331" s="15" t="s">
        <v>671</v>
      </c>
      <c r="F331" s="30"/>
      <c r="G331" s="31"/>
      <c r="H331" s="30"/>
      <c r="I331" s="58"/>
      <c r="J331" s="30"/>
      <c r="K331" s="58"/>
      <c r="L331" s="30"/>
      <c r="M331" s="58"/>
      <c r="N331" s="30"/>
      <c r="O331" s="58"/>
      <c r="P331" s="30"/>
      <c r="Q331" s="58"/>
      <c r="R331" s="30"/>
      <c r="S331" s="58"/>
      <c r="T331" s="30"/>
      <c r="U331" s="58"/>
      <c r="V331" s="30"/>
      <c r="W331" s="58"/>
      <c r="X331" s="30"/>
      <c r="Y331" s="58"/>
      <c r="Z331" s="30"/>
      <c r="AA331" s="58"/>
      <c r="AB331" s="30"/>
      <c r="AC331" s="58"/>
      <c r="AD331" s="30"/>
      <c r="AE331" s="58"/>
      <c r="AF331" s="55">
        <v>40590.620000000003</v>
      </c>
      <c r="AG331" s="12">
        <f>+F331++H331++J331++L331++N331++P331++R331++T331++V331++X331++Z331++AB331++AD331+0</f>
        <v>0</v>
      </c>
      <c r="AH331" s="11">
        <f>G331+I331+K331+M331+O331+Q331+S331+U331+W331+Y331+AA331+AC331+AE331+0</f>
        <v>0</v>
      </c>
      <c r="AI331" s="6"/>
    </row>
    <row r="332" spans="1:35" x14ac:dyDescent="0.2">
      <c r="A332" s="4"/>
      <c r="B332" s="17">
        <v>324</v>
      </c>
      <c r="C332" s="41" t="s">
        <v>672</v>
      </c>
      <c r="D332" s="53"/>
      <c r="E332" s="15" t="s">
        <v>673</v>
      </c>
      <c r="F332" s="30"/>
      <c r="G332" s="31"/>
      <c r="H332" s="30"/>
      <c r="I332" s="58"/>
      <c r="J332" s="30"/>
      <c r="K332" s="58"/>
      <c r="L332" s="30"/>
      <c r="M332" s="58"/>
      <c r="N332" s="30"/>
      <c r="O332" s="58"/>
      <c r="P332" s="30"/>
      <c r="Q332" s="58"/>
      <c r="R332" s="30"/>
      <c r="S332" s="58"/>
      <c r="T332" s="30"/>
      <c r="U332" s="58"/>
      <c r="V332" s="30"/>
      <c r="W332" s="58"/>
      <c r="X332" s="30"/>
      <c r="Y332" s="58"/>
      <c r="Z332" s="30"/>
      <c r="AA332" s="58"/>
      <c r="AB332" s="30"/>
      <c r="AC332" s="58"/>
      <c r="AD332" s="30"/>
      <c r="AE332" s="58"/>
      <c r="AF332" s="55">
        <v>60490</v>
      </c>
      <c r="AG332" s="12">
        <f>+F332++H332++J332++L332++N332++P332++R332++T332++V332++X332++Z332++AB332++AD332+0</f>
        <v>0</v>
      </c>
      <c r="AH332" s="11">
        <f>G332+I332+K332+M332+O332+Q332+S332+U332+W332+Y332+AA332+AC332+AE332+0</f>
        <v>0</v>
      </c>
      <c r="AI332" s="6"/>
    </row>
    <row r="333" spans="1:35" x14ac:dyDescent="0.2">
      <c r="A333" s="4"/>
      <c r="B333" s="17">
        <v>325</v>
      </c>
      <c r="C333" s="41" t="s">
        <v>674</v>
      </c>
      <c r="D333" s="53"/>
      <c r="E333" s="15" t="s">
        <v>675</v>
      </c>
      <c r="F333" s="30"/>
      <c r="G333" s="31"/>
      <c r="H333" s="30"/>
      <c r="I333" s="58"/>
      <c r="J333" s="30"/>
      <c r="K333" s="58"/>
      <c r="L333" s="30"/>
      <c r="M333" s="58"/>
      <c r="N333" s="30"/>
      <c r="O333" s="58"/>
      <c r="P333" s="30"/>
      <c r="Q333" s="58"/>
      <c r="R333" s="30"/>
      <c r="S333" s="58"/>
      <c r="T333" s="30"/>
      <c r="U333" s="58"/>
      <c r="V333" s="30"/>
      <c r="W333" s="58"/>
      <c r="X333" s="30"/>
      <c r="Y333" s="58"/>
      <c r="Z333" s="30"/>
      <c r="AA333" s="58"/>
      <c r="AB333" s="30"/>
      <c r="AC333" s="58"/>
      <c r="AD333" s="30"/>
      <c r="AE333" s="58"/>
      <c r="AF333" s="55">
        <v>200000</v>
      </c>
      <c r="AG333" s="12">
        <f>+F333++H333++J333++L333++N333++P333++R333++T333++V333++X333++Z333++AB333++AD333+0</f>
        <v>0</v>
      </c>
      <c r="AH333" s="11">
        <f>G333+I333+K333+M333+O333+Q333+S333+U333+W333+Y333+AA333+AC333+AE333+0</f>
        <v>0</v>
      </c>
      <c r="AI333" s="6"/>
    </row>
    <row r="334" spans="1:35" x14ac:dyDescent="0.2">
      <c r="A334" s="4"/>
      <c r="B334" s="17">
        <v>326</v>
      </c>
      <c r="C334" s="41" t="s">
        <v>676</v>
      </c>
      <c r="D334" s="53"/>
      <c r="E334" s="15" t="s">
        <v>677</v>
      </c>
      <c r="F334" s="30"/>
      <c r="G334" s="31"/>
      <c r="H334" s="30"/>
      <c r="I334" s="58"/>
      <c r="J334" s="30"/>
      <c r="K334" s="58"/>
      <c r="L334" s="30"/>
      <c r="M334" s="58"/>
      <c r="N334" s="30"/>
      <c r="O334" s="58"/>
      <c r="P334" s="30"/>
      <c r="Q334" s="58"/>
      <c r="R334" s="30"/>
      <c r="S334" s="58"/>
      <c r="T334" s="30"/>
      <c r="U334" s="58"/>
      <c r="V334" s="30"/>
      <c r="W334" s="58"/>
      <c r="X334" s="30"/>
      <c r="Y334" s="58"/>
      <c r="Z334" s="30"/>
      <c r="AA334" s="58"/>
      <c r="AB334" s="30"/>
      <c r="AC334" s="58"/>
      <c r="AD334" s="30"/>
      <c r="AE334" s="58"/>
      <c r="AF334" s="55">
        <v>37000</v>
      </c>
      <c r="AG334" s="12">
        <f>+F334++H334++J334++L334++N334++P334++R334++T334++V334++X334++Z334++AB334++AD334+0</f>
        <v>0</v>
      </c>
      <c r="AH334" s="11">
        <f>G334+I334+K334+M334+O334+Q334+S334+U334+W334+Y334+AA334+AC334+AE334+0</f>
        <v>0</v>
      </c>
      <c r="AI334" s="6"/>
    </row>
    <row r="335" spans="1:35" x14ac:dyDescent="0.2">
      <c r="A335" s="4"/>
      <c r="B335" s="17">
        <v>327</v>
      </c>
      <c r="C335" s="41" t="s">
        <v>678</v>
      </c>
      <c r="D335" s="53"/>
      <c r="E335" s="15" t="s">
        <v>679</v>
      </c>
      <c r="F335" s="30"/>
      <c r="G335" s="31"/>
      <c r="H335" s="30"/>
      <c r="I335" s="58"/>
      <c r="J335" s="30"/>
      <c r="K335" s="58"/>
      <c r="L335" s="30"/>
      <c r="M335" s="58"/>
      <c r="N335" s="30"/>
      <c r="O335" s="58"/>
      <c r="P335" s="30"/>
      <c r="Q335" s="58"/>
      <c r="R335" s="30"/>
      <c r="S335" s="58"/>
      <c r="T335" s="30"/>
      <c r="U335" s="58"/>
      <c r="V335" s="30"/>
      <c r="W335" s="58"/>
      <c r="X335" s="30"/>
      <c r="Y335" s="58"/>
      <c r="Z335" s="30"/>
      <c r="AA335" s="58"/>
      <c r="AB335" s="30"/>
      <c r="AC335" s="58"/>
      <c r="AD335" s="30"/>
      <c r="AE335" s="58"/>
      <c r="AF335" s="55">
        <v>210000</v>
      </c>
      <c r="AG335" s="12">
        <f>+F335++H335++J335++L335++N335++P335++R335++T335++V335++X335++Z335++AB335++AD335+0</f>
        <v>0</v>
      </c>
      <c r="AH335" s="11">
        <f>G335+I335+K335+M335+O335+Q335+S335+U335+W335+Y335+AA335+AC335+AE335+0</f>
        <v>0</v>
      </c>
      <c r="AI335" s="6"/>
    </row>
    <row r="336" spans="1:35" x14ac:dyDescent="0.2">
      <c r="A336" s="4"/>
      <c r="B336" s="17">
        <v>328</v>
      </c>
      <c r="C336" s="41" t="s">
        <v>680</v>
      </c>
      <c r="D336" s="53"/>
      <c r="E336" s="15" t="s">
        <v>681</v>
      </c>
      <c r="F336" s="30"/>
      <c r="G336" s="31"/>
      <c r="H336" s="30"/>
      <c r="I336" s="58"/>
      <c r="J336" s="30"/>
      <c r="K336" s="58"/>
      <c r="L336" s="30"/>
      <c r="M336" s="58"/>
      <c r="N336" s="30"/>
      <c r="O336" s="58"/>
      <c r="P336" s="30"/>
      <c r="Q336" s="58"/>
      <c r="R336" s="30"/>
      <c r="S336" s="58"/>
      <c r="T336" s="30"/>
      <c r="U336" s="58"/>
      <c r="V336" s="30"/>
      <c r="W336" s="58"/>
      <c r="X336" s="30"/>
      <c r="Y336" s="58"/>
      <c r="Z336" s="30"/>
      <c r="AA336" s="58"/>
      <c r="AB336" s="30"/>
      <c r="AC336" s="58"/>
      <c r="AD336" s="30"/>
      <c r="AE336" s="58"/>
      <c r="AF336" s="55">
        <v>30000</v>
      </c>
      <c r="AG336" s="12">
        <f>+F336++H336++J336++L336++N336++P336++R336++T336++V336++X336++Z336++AB336++AD336+0</f>
        <v>0</v>
      </c>
      <c r="AH336" s="11">
        <f>G336+I336+K336+M336+O336+Q336+S336+U336+W336+Y336+AA336+AC336+AE336+0</f>
        <v>0</v>
      </c>
      <c r="AI336" s="6"/>
    </row>
    <row r="337" spans="1:35" x14ac:dyDescent="0.2">
      <c r="A337" s="4"/>
      <c r="B337" s="17">
        <v>329</v>
      </c>
      <c r="C337" s="41" t="s">
        <v>682</v>
      </c>
      <c r="D337" s="53"/>
      <c r="E337" s="15" t="s">
        <v>683</v>
      </c>
      <c r="F337" s="30"/>
      <c r="G337" s="31"/>
      <c r="H337" s="30"/>
      <c r="I337" s="58"/>
      <c r="J337" s="30"/>
      <c r="K337" s="58"/>
      <c r="L337" s="30"/>
      <c r="M337" s="58"/>
      <c r="N337" s="30"/>
      <c r="O337" s="58"/>
      <c r="P337" s="30"/>
      <c r="Q337" s="58"/>
      <c r="R337" s="30"/>
      <c r="S337" s="58"/>
      <c r="T337" s="30"/>
      <c r="U337" s="58"/>
      <c r="V337" s="30"/>
      <c r="W337" s="58"/>
      <c r="X337" s="30"/>
      <c r="Y337" s="58"/>
      <c r="Z337" s="30"/>
      <c r="AA337" s="58"/>
      <c r="AB337" s="30"/>
      <c r="AC337" s="58"/>
      <c r="AD337" s="30"/>
      <c r="AE337" s="58"/>
      <c r="AF337" s="55">
        <v>40000</v>
      </c>
      <c r="AG337" s="12">
        <f>+F337++H337++J337++L337++N337++P337++R337++T337++V337++X337++Z337++AB337++AD337+0</f>
        <v>0</v>
      </c>
      <c r="AH337" s="11">
        <f>G337+I337+K337+M337+O337+Q337+S337+U337+W337+Y337+AA337+AC337+AE337+0</f>
        <v>0</v>
      </c>
      <c r="AI337" s="6"/>
    </row>
    <row r="338" spans="1:35" x14ac:dyDescent="0.2">
      <c r="A338" s="4"/>
      <c r="B338" s="17">
        <v>330</v>
      </c>
      <c r="C338" s="41" t="s">
        <v>684</v>
      </c>
      <c r="D338" s="53"/>
      <c r="E338" s="15" t="s">
        <v>685</v>
      </c>
      <c r="F338" s="30"/>
      <c r="G338" s="31"/>
      <c r="H338" s="30"/>
      <c r="I338" s="58"/>
      <c r="J338" s="30"/>
      <c r="K338" s="58"/>
      <c r="L338" s="30"/>
      <c r="M338" s="58"/>
      <c r="N338" s="30"/>
      <c r="O338" s="58"/>
      <c r="P338" s="30"/>
      <c r="Q338" s="58"/>
      <c r="R338" s="30"/>
      <c r="S338" s="58"/>
      <c r="T338" s="30"/>
      <c r="U338" s="58"/>
      <c r="V338" s="30"/>
      <c r="W338" s="58"/>
      <c r="X338" s="30"/>
      <c r="Y338" s="58"/>
      <c r="Z338" s="30"/>
      <c r="AA338" s="58"/>
      <c r="AB338" s="30"/>
      <c r="AC338" s="58"/>
      <c r="AD338" s="30"/>
      <c r="AE338" s="58"/>
      <c r="AF338" s="55">
        <v>30000</v>
      </c>
      <c r="AG338" s="12">
        <f>+F338++H338++J338++L338++N338++P338++R338++T338++V338++X338++Z338++AB338++AD338+0</f>
        <v>0</v>
      </c>
      <c r="AH338" s="11">
        <f>G338+I338+K338+M338+O338+Q338+S338+U338+W338+Y338+AA338+AC338+AE338+0</f>
        <v>0</v>
      </c>
      <c r="AI338" s="6"/>
    </row>
    <row r="339" spans="1:35" x14ac:dyDescent="0.2">
      <c r="A339" s="4"/>
      <c r="B339" s="17">
        <v>331</v>
      </c>
      <c r="C339" s="41" t="s">
        <v>686</v>
      </c>
      <c r="D339" s="53"/>
      <c r="E339" s="15" t="s">
        <v>687</v>
      </c>
      <c r="F339" s="30"/>
      <c r="G339" s="31"/>
      <c r="H339" s="30"/>
      <c r="I339" s="58"/>
      <c r="J339" s="30"/>
      <c r="K339" s="58"/>
      <c r="L339" s="30"/>
      <c r="M339" s="58"/>
      <c r="N339" s="30"/>
      <c r="O339" s="58"/>
      <c r="P339" s="30"/>
      <c r="Q339" s="58"/>
      <c r="R339" s="30"/>
      <c r="S339" s="58"/>
      <c r="T339" s="30"/>
      <c r="U339" s="58"/>
      <c r="V339" s="30"/>
      <c r="W339" s="58"/>
      <c r="X339" s="30"/>
      <c r="Y339" s="58"/>
      <c r="Z339" s="30"/>
      <c r="AA339" s="58"/>
      <c r="AB339" s="30"/>
      <c r="AC339" s="58"/>
      <c r="AD339" s="30"/>
      <c r="AE339" s="58"/>
      <c r="AF339" s="55">
        <v>100000</v>
      </c>
      <c r="AG339" s="12">
        <f>+F339++H339++J339++L339++N339++P339++R339++T339++V339++X339++Z339++AB339++AD339+0</f>
        <v>0</v>
      </c>
      <c r="AH339" s="11">
        <f>G339+I339+K339+M339+O339+Q339+S339+U339+W339+Y339+AA339+AC339+AE339+0</f>
        <v>0</v>
      </c>
      <c r="AI339" s="6"/>
    </row>
    <row r="340" spans="1:35" x14ac:dyDescent="0.2">
      <c r="A340" s="4"/>
      <c r="B340" s="17">
        <v>332</v>
      </c>
      <c r="C340" s="41" t="s">
        <v>688</v>
      </c>
      <c r="D340" s="53"/>
      <c r="E340" s="15" t="s">
        <v>689</v>
      </c>
      <c r="F340" s="30"/>
      <c r="G340" s="31"/>
      <c r="H340" s="30"/>
      <c r="I340" s="58"/>
      <c r="J340" s="30"/>
      <c r="K340" s="58"/>
      <c r="L340" s="30"/>
      <c r="M340" s="58"/>
      <c r="N340" s="30"/>
      <c r="O340" s="58"/>
      <c r="P340" s="30"/>
      <c r="Q340" s="58"/>
      <c r="R340" s="30"/>
      <c r="S340" s="58"/>
      <c r="T340" s="30"/>
      <c r="U340" s="58"/>
      <c r="V340" s="30"/>
      <c r="W340" s="58"/>
      <c r="X340" s="30"/>
      <c r="Y340" s="58"/>
      <c r="Z340" s="30"/>
      <c r="AA340" s="58"/>
      <c r="AB340" s="30"/>
      <c r="AC340" s="58"/>
      <c r="AD340" s="30"/>
      <c r="AE340" s="58"/>
      <c r="AF340" s="55">
        <v>150000</v>
      </c>
      <c r="AG340" s="12">
        <f>+F340++H340++J340++L340++N340++P340++R340++T340++V340++X340++Z340++AB340++AD340+0</f>
        <v>0</v>
      </c>
      <c r="AH340" s="11">
        <f>G340+I340+K340+M340+O340+Q340+S340+U340+W340+Y340+AA340+AC340+AE340+0</f>
        <v>0</v>
      </c>
      <c r="AI340" s="6"/>
    </row>
    <row r="341" spans="1:35" x14ac:dyDescent="0.2">
      <c r="A341" s="4"/>
      <c r="B341" s="17">
        <v>333</v>
      </c>
      <c r="C341" s="41" t="s">
        <v>690</v>
      </c>
      <c r="D341" s="53"/>
      <c r="E341" s="15" t="s">
        <v>691</v>
      </c>
      <c r="F341" s="30"/>
      <c r="G341" s="31"/>
      <c r="H341" s="30"/>
      <c r="I341" s="58"/>
      <c r="J341" s="30"/>
      <c r="K341" s="58"/>
      <c r="L341" s="30"/>
      <c r="M341" s="58"/>
      <c r="N341" s="30"/>
      <c r="O341" s="58"/>
      <c r="P341" s="30"/>
      <c r="Q341" s="58"/>
      <c r="R341" s="30"/>
      <c r="S341" s="58"/>
      <c r="T341" s="30"/>
      <c r="U341" s="58"/>
      <c r="V341" s="30"/>
      <c r="W341" s="58"/>
      <c r="X341" s="30"/>
      <c r="Y341" s="58"/>
      <c r="Z341" s="30"/>
      <c r="AA341" s="58"/>
      <c r="AB341" s="30"/>
      <c r="AC341" s="58"/>
      <c r="AD341" s="30"/>
      <c r="AE341" s="58"/>
      <c r="AF341" s="55">
        <v>50000</v>
      </c>
      <c r="AG341" s="12">
        <f>+F341++H341++J341++L341++N341++P341++R341++T341++V341++X341++Z341++AB341++AD341+0</f>
        <v>0</v>
      </c>
      <c r="AH341" s="11">
        <f>G341+I341+K341+M341+O341+Q341+S341+U341+W341+Y341+AA341+AC341+AE341+0</f>
        <v>0</v>
      </c>
      <c r="AI341" s="6"/>
    </row>
    <row r="342" spans="1:35" x14ac:dyDescent="0.2">
      <c r="A342" s="4"/>
      <c r="B342" s="17">
        <v>334</v>
      </c>
      <c r="C342" s="41" t="s">
        <v>692</v>
      </c>
      <c r="D342" s="53"/>
      <c r="E342" s="15" t="s">
        <v>693</v>
      </c>
      <c r="F342" s="30"/>
      <c r="G342" s="31"/>
      <c r="H342" s="30"/>
      <c r="I342" s="58"/>
      <c r="J342" s="30"/>
      <c r="K342" s="58"/>
      <c r="L342" s="30"/>
      <c r="M342" s="58"/>
      <c r="N342" s="30"/>
      <c r="O342" s="58"/>
      <c r="P342" s="30"/>
      <c r="Q342" s="58"/>
      <c r="R342" s="30"/>
      <c r="S342" s="58"/>
      <c r="T342" s="30"/>
      <c r="U342" s="58"/>
      <c r="V342" s="30"/>
      <c r="W342" s="58"/>
      <c r="X342" s="30"/>
      <c r="Y342" s="58"/>
      <c r="Z342" s="30"/>
      <c r="AA342" s="58"/>
      <c r="AB342" s="30"/>
      <c r="AC342" s="58"/>
      <c r="AD342" s="30"/>
      <c r="AE342" s="58"/>
      <c r="AF342" s="55">
        <v>10000</v>
      </c>
      <c r="AG342" s="12">
        <f>+F342++H342++J342++L342++N342++P342++R342++T342++V342++X342++Z342++AB342++AD342+0</f>
        <v>0</v>
      </c>
      <c r="AH342" s="11">
        <f>G342+I342+K342+M342+O342+Q342+S342+U342+W342+Y342+AA342+AC342+AE342+0</f>
        <v>0</v>
      </c>
      <c r="AI342" s="6"/>
    </row>
    <row r="343" spans="1:35" x14ac:dyDescent="0.2">
      <c r="A343" s="4"/>
      <c r="B343" s="17">
        <v>335</v>
      </c>
      <c r="C343" s="41" t="s">
        <v>694</v>
      </c>
      <c r="D343" s="53"/>
      <c r="E343" s="15" t="s">
        <v>695</v>
      </c>
      <c r="F343" s="30"/>
      <c r="G343" s="31"/>
      <c r="H343" s="30"/>
      <c r="I343" s="58"/>
      <c r="J343" s="30"/>
      <c r="K343" s="58"/>
      <c r="L343" s="30"/>
      <c r="M343" s="58"/>
      <c r="N343" s="30"/>
      <c r="O343" s="58"/>
      <c r="P343" s="30"/>
      <c r="Q343" s="58"/>
      <c r="R343" s="30"/>
      <c r="S343" s="58"/>
      <c r="T343" s="30"/>
      <c r="U343" s="58"/>
      <c r="V343" s="30"/>
      <c r="W343" s="58"/>
      <c r="X343" s="30"/>
      <c r="Y343" s="58"/>
      <c r="Z343" s="30"/>
      <c r="AA343" s="58"/>
      <c r="AB343" s="30"/>
      <c r="AC343" s="58"/>
      <c r="AD343" s="30"/>
      <c r="AE343" s="58"/>
      <c r="AF343" s="55">
        <v>40000</v>
      </c>
      <c r="AG343" s="12">
        <f>+F343++H343++J343++L343++N343++P343++R343++T343++V343++X343++Z343++AB343++AD343+0</f>
        <v>0</v>
      </c>
      <c r="AH343" s="11">
        <f>G343+I343+K343+M343+O343+Q343+S343+U343+W343+Y343+AA343+AC343+AE343+0</f>
        <v>0</v>
      </c>
      <c r="AI343" s="6"/>
    </row>
    <row r="344" spans="1:35" x14ac:dyDescent="0.2">
      <c r="A344" s="4"/>
      <c r="B344" s="17">
        <v>336</v>
      </c>
      <c r="C344" s="41" t="s">
        <v>696</v>
      </c>
      <c r="D344" s="53"/>
      <c r="E344" s="15" t="s">
        <v>697</v>
      </c>
      <c r="F344" s="30"/>
      <c r="G344" s="31"/>
      <c r="H344" s="30"/>
      <c r="I344" s="58"/>
      <c r="J344" s="30"/>
      <c r="K344" s="58"/>
      <c r="L344" s="30"/>
      <c r="M344" s="58"/>
      <c r="N344" s="30"/>
      <c r="O344" s="58"/>
      <c r="P344" s="30"/>
      <c r="Q344" s="58"/>
      <c r="R344" s="30"/>
      <c r="S344" s="58"/>
      <c r="T344" s="30"/>
      <c r="U344" s="58"/>
      <c r="V344" s="30"/>
      <c r="W344" s="58"/>
      <c r="X344" s="30"/>
      <c r="Y344" s="58"/>
      <c r="Z344" s="30"/>
      <c r="AA344" s="58"/>
      <c r="AB344" s="30"/>
      <c r="AC344" s="58"/>
      <c r="AD344" s="30"/>
      <c r="AE344" s="58"/>
      <c r="AF344" s="55">
        <v>130000</v>
      </c>
      <c r="AG344" s="12">
        <f>+F344++H344++J344++L344++N344++P344++R344++T344++V344++X344++Z344++AB344++AD344+0</f>
        <v>0</v>
      </c>
      <c r="AH344" s="11">
        <f>G344+I344+K344+M344+O344+Q344+S344+U344+W344+Y344+AA344+AC344+AE344+0</f>
        <v>0</v>
      </c>
      <c r="AI344" s="6"/>
    </row>
    <row r="345" spans="1:35" x14ac:dyDescent="0.2">
      <c r="A345" s="4"/>
      <c r="B345" s="17">
        <v>337</v>
      </c>
      <c r="C345" s="41" t="s">
        <v>698</v>
      </c>
      <c r="D345" s="53"/>
      <c r="E345" s="15" t="s">
        <v>699</v>
      </c>
      <c r="F345" s="30"/>
      <c r="G345" s="31"/>
      <c r="H345" s="30"/>
      <c r="I345" s="58"/>
      <c r="J345" s="30"/>
      <c r="K345" s="58"/>
      <c r="L345" s="30"/>
      <c r="M345" s="58"/>
      <c r="N345" s="30"/>
      <c r="O345" s="58"/>
      <c r="P345" s="30"/>
      <c r="Q345" s="58"/>
      <c r="R345" s="30"/>
      <c r="S345" s="58"/>
      <c r="T345" s="30"/>
      <c r="U345" s="58"/>
      <c r="V345" s="30"/>
      <c r="W345" s="58"/>
      <c r="X345" s="30"/>
      <c r="Y345" s="58"/>
      <c r="Z345" s="30"/>
      <c r="AA345" s="58"/>
      <c r="AB345" s="30"/>
      <c r="AC345" s="58"/>
      <c r="AD345" s="30"/>
      <c r="AE345" s="58"/>
      <c r="AF345" s="55">
        <v>100000</v>
      </c>
      <c r="AG345" s="12">
        <f>+F345++H345++J345++L345++N345++P345++R345++T345++V345++X345++Z345++AB345++AD345+0</f>
        <v>0</v>
      </c>
      <c r="AH345" s="11">
        <f>G345+I345+K345+M345+O345+Q345+S345+U345+W345+Y345+AA345+AC345+AE345+0</f>
        <v>0</v>
      </c>
      <c r="AI345" s="6"/>
    </row>
    <row r="346" spans="1:35" x14ac:dyDescent="0.2">
      <c r="A346" s="4"/>
      <c r="B346" s="17">
        <v>338</v>
      </c>
      <c r="C346" s="41" t="s">
        <v>700</v>
      </c>
      <c r="D346" s="53"/>
      <c r="E346" s="15" t="s">
        <v>701</v>
      </c>
      <c r="F346" s="30"/>
      <c r="G346" s="31"/>
      <c r="H346" s="30"/>
      <c r="I346" s="58"/>
      <c r="J346" s="30"/>
      <c r="K346" s="58"/>
      <c r="L346" s="30"/>
      <c r="M346" s="58"/>
      <c r="N346" s="30"/>
      <c r="O346" s="58"/>
      <c r="P346" s="30"/>
      <c r="Q346" s="58"/>
      <c r="R346" s="30"/>
      <c r="S346" s="58"/>
      <c r="T346" s="30"/>
      <c r="U346" s="58"/>
      <c r="V346" s="30"/>
      <c r="W346" s="58"/>
      <c r="X346" s="30"/>
      <c r="Y346" s="58"/>
      <c r="Z346" s="30"/>
      <c r="AA346" s="58"/>
      <c r="AB346" s="30"/>
      <c r="AC346" s="58"/>
      <c r="AD346" s="30"/>
      <c r="AE346" s="58"/>
      <c r="AF346" s="55">
        <v>15000</v>
      </c>
      <c r="AG346" s="12">
        <f>+F346++H346++J346++L346++N346++P346++R346++T346++V346++X346++Z346++AB346++AD346+0</f>
        <v>0</v>
      </c>
      <c r="AH346" s="11">
        <f>G346+I346+K346+M346+O346+Q346+S346+U346+W346+Y346+AA346+AC346+AE346+0</f>
        <v>0</v>
      </c>
      <c r="AI346" s="6"/>
    </row>
    <row r="347" spans="1:35" x14ac:dyDescent="0.2">
      <c r="A347" s="4"/>
      <c r="B347" s="17">
        <v>339</v>
      </c>
      <c r="C347" s="41" t="s">
        <v>702</v>
      </c>
      <c r="D347" s="53"/>
      <c r="E347" s="15" t="s">
        <v>703</v>
      </c>
      <c r="F347" s="30"/>
      <c r="G347" s="31"/>
      <c r="H347" s="30"/>
      <c r="I347" s="58"/>
      <c r="J347" s="30"/>
      <c r="K347" s="58"/>
      <c r="L347" s="30"/>
      <c r="M347" s="58"/>
      <c r="N347" s="30"/>
      <c r="O347" s="58"/>
      <c r="P347" s="30"/>
      <c r="Q347" s="58"/>
      <c r="R347" s="30"/>
      <c r="S347" s="58"/>
      <c r="T347" s="30"/>
      <c r="U347" s="58"/>
      <c r="V347" s="30"/>
      <c r="W347" s="58"/>
      <c r="X347" s="30"/>
      <c r="Y347" s="58"/>
      <c r="Z347" s="30"/>
      <c r="AA347" s="58"/>
      <c r="AB347" s="30"/>
      <c r="AC347" s="58"/>
      <c r="AD347" s="30"/>
      <c r="AE347" s="58"/>
      <c r="AF347" s="55">
        <v>10000</v>
      </c>
      <c r="AG347" s="12">
        <f>+F347++H347++J347++L347++N347++P347++R347++T347++V347++X347++Z347++AB347++AD347+0</f>
        <v>0</v>
      </c>
      <c r="AH347" s="11">
        <f>G347+I347+K347+M347+O347+Q347+S347+U347+W347+Y347+AA347+AC347+AE347+0</f>
        <v>0</v>
      </c>
      <c r="AI347" s="6"/>
    </row>
    <row r="348" spans="1:35" x14ac:dyDescent="0.2">
      <c r="A348" s="4"/>
      <c r="B348" s="17">
        <v>340</v>
      </c>
      <c r="C348" s="41" t="s">
        <v>704</v>
      </c>
      <c r="D348" s="53"/>
      <c r="E348" s="15" t="s">
        <v>705</v>
      </c>
      <c r="F348" s="30"/>
      <c r="G348" s="31"/>
      <c r="H348" s="30"/>
      <c r="I348" s="58"/>
      <c r="J348" s="30"/>
      <c r="K348" s="58"/>
      <c r="L348" s="30"/>
      <c r="M348" s="58"/>
      <c r="N348" s="30"/>
      <c r="O348" s="58"/>
      <c r="P348" s="30"/>
      <c r="Q348" s="58"/>
      <c r="R348" s="30"/>
      <c r="S348" s="58"/>
      <c r="T348" s="30"/>
      <c r="U348" s="58"/>
      <c r="V348" s="30"/>
      <c r="W348" s="58"/>
      <c r="X348" s="30"/>
      <c r="Y348" s="58"/>
      <c r="Z348" s="30"/>
      <c r="AA348" s="58"/>
      <c r="AB348" s="30"/>
      <c r="AC348" s="58"/>
      <c r="AD348" s="30"/>
      <c r="AE348" s="58"/>
      <c r="AF348" s="55">
        <v>30000</v>
      </c>
      <c r="AG348" s="12">
        <f>+F348++H348++J348++L348++N348++P348++R348++T348++V348++X348++Z348++AB348++AD348+0</f>
        <v>0</v>
      </c>
      <c r="AH348" s="11">
        <f>G348+I348+K348+M348+O348+Q348+S348+U348+W348+Y348+AA348+AC348+AE348+0</f>
        <v>0</v>
      </c>
      <c r="AI348" s="6"/>
    </row>
    <row r="349" spans="1:35" x14ac:dyDescent="0.2">
      <c r="A349" s="4"/>
      <c r="B349" s="17">
        <v>341</v>
      </c>
      <c r="C349" s="41" t="s">
        <v>706</v>
      </c>
      <c r="D349" s="53"/>
      <c r="E349" s="15" t="s">
        <v>707</v>
      </c>
      <c r="F349" s="30"/>
      <c r="G349" s="31"/>
      <c r="H349" s="30"/>
      <c r="I349" s="58"/>
      <c r="J349" s="30"/>
      <c r="K349" s="58"/>
      <c r="L349" s="30"/>
      <c r="M349" s="58"/>
      <c r="N349" s="30"/>
      <c r="O349" s="58"/>
      <c r="P349" s="30"/>
      <c r="Q349" s="58"/>
      <c r="R349" s="30"/>
      <c r="S349" s="58"/>
      <c r="T349" s="30"/>
      <c r="U349" s="58"/>
      <c r="V349" s="30"/>
      <c r="W349" s="58"/>
      <c r="X349" s="30"/>
      <c r="Y349" s="58"/>
      <c r="Z349" s="30"/>
      <c r="AA349" s="58"/>
      <c r="AB349" s="30"/>
      <c r="AC349" s="58"/>
      <c r="AD349" s="30"/>
      <c r="AE349" s="58"/>
      <c r="AF349" s="55">
        <v>20000</v>
      </c>
      <c r="AG349" s="12">
        <f>+F349++H349++J349++L349++N349++P349++R349++T349++V349++X349++Z349++AB349++AD349+0</f>
        <v>0</v>
      </c>
      <c r="AH349" s="11">
        <f>G349+I349+K349+M349+O349+Q349+S349+U349+W349+Y349+AA349+AC349+AE349+0</f>
        <v>0</v>
      </c>
      <c r="AI349" s="6"/>
    </row>
    <row r="350" spans="1:35" x14ac:dyDescent="0.2">
      <c r="A350" s="4"/>
      <c r="B350" s="17">
        <v>342</v>
      </c>
      <c r="C350" s="41" t="s">
        <v>708</v>
      </c>
      <c r="D350" s="53"/>
      <c r="E350" s="15" t="s">
        <v>709</v>
      </c>
      <c r="F350" s="30"/>
      <c r="G350" s="31"/>
      <c r="H350" s="30"/>
      <c r="I350" s="58"/>
      <c r="J350" s="30"/>
      <c r="K350" s="58"/>
      <c r="L350" s="30"/>
      <c r="M350" s="58"/>
      <c r="N350" s="30"/>
      <c r="O350" s="58"/>
      <c r="P350" s="30"/>
      <c r="Q350" s="58"/>
      <c r="R350" s="30"/>
      <c r="S350" s="58"/>
      <c r="T350" s="30"/>
      <c r="U350" s="58"/>
      <c r="V350" s="30"/>
      <c r="W350" s="58"/>
      <c r="X350" s="30"/>
      <c r="Y350" s="58"/>
      <c r="Z350" s="30"/>
      <c r="AA350" s="58"/>
      <c r="AB350" s="30"/>
      <c r="AC350" s="58"/>
      <c r="AD350" s="30"/>
      <c r="AE350" s="58"/>
      <c r="AF350" s="55">
        <v>10000</v>
      </c>
      <c r="AG350" s="12">
        <f>+F350++H350++J350++L350++N350++P350++R350++T350++V350++X350++Z350++AB350++AD350+0</f>
        <v>0</v>
      </c>
      <c r="AH350" s="11">
        <f>G350+I350+K350+M350+O350+Q350+S350+U350+W350+Y350+AA350+AC350+AE350+0</f>
        <v>0</v>
      </c>
      <c r="AI350" s="6"/>
    </row>
    <row r="351" spans="1:35" x14ac:dyDescent="0.2">
      <c r="A351" s="4"/>
      <c r="B351" s="17">
        <v>343</v>
      </c>
      <c r="C351" s="41" t="s">
        <v>710</v>
      </c>
      <c r="D351" s="53"/>
      <c r="E351" s="15" t="s">
        <v>711</v>
      </c>
      <c r="F351" s="30"/>
      <c r="G351" s="31"/>
      <c r="H351" s="30"/>
      <c r="I351" s="58"/>
      <c r="J351" s="30"/>
      <c r="K351" s="58"/>
      <c r="L351" s="30"/>
      <c r="M351" s="58"/>
      <c r="N351" s="30"/>
      <c r="O351" s="58"/>
      <c r="P351" s="30"/>
      <c r="Q351" s="58"/>
      <c r="R351" s="30"/>
      <c r="S351" s="58"/>
      <c r="T351" s="30"/>
      <c r="U351" s="58"/>
      <c r="V351" s="30"/>
      <c r="W351" s="58"/>
      <c r="X351" s="30"/>
      <c r="Y351" s="58"/>
      <c r="Z351" s="30"/>
      <c r="AA351" s="58"/>
      <c r="AB351" s="30"/>
      <c r="AC351" s="58"/>
      <c r="AD351" s="30"/>
      <c r="AE351" s="58"/>
      <c r="AF351" s="55">
        <v>80000</v>
      </c>
      <c r="AG351" s="12">
        <f>+F351++H351++J351++L351++N351++P351++R351++T351++V351++X351++Z351++AB351++AD351+0</f>
        <v>0</v>
      </c>
      <c r="AH351" s="11">
        <f>G351+I351+K351+M351+O351+Q351+S351+U351+W351+Y351+AA351+AC351+AE351+0</f>
        <v>0</v>
      </c>
      <c r="AI351" s="6"/>
    </row>
    <row r="352" spans="1:35" x14ac:dyDescent="0.2">
      <c r="A352" s="4"/>
      <c r="B352" s="17">
        <v>344</v>
      </c>
      <c r="C352" s="41" t="s">
        <v>712</v>
      </c>
      <c r="D352" s="53"/>
      <c r="E352" s="15" t="s">
        <v>713</v>
      </c>
      <c r="F352" s="30"/>
      <c r="G352" s="31"/>
      <c r="H352" s="30"/>
      <c r="I352" s="58"/>
      <c r="J352" s="30"/>
      <c r="K352" s="58"/>
      <c r="L352" s="30"/>
      <c r="M352" s="58"/>
      <c r="N352" s="30"/>
      <c r="O352" s="58"/>
      <c r="P352" s="30"/>
      <c r="Q352" s="58"/>
      <c r="R352" s="30"/>
      <c r="S352" s="58"/>
      <c r="T352" s="30"/>
      <c r="U352" s="58"/>
      <c r="V352" s="30"/>
      <c r="W352" s="58"/>
      <c r="X352" s="30"/>
      <c r="Y352" s="58"/>
      <c r="Z352" s="30"/>
      <c r="AA352" s="58"/>
      <c r="AB352" s="30"/>
      <c r="AC352" s="58"/>
      <c r="AD352" s="30"/>
      <c r="AE352" s="58"/>
      <c r="AF352" s="55">
        <v>100000</v>
      </c>
      <c r="AG352" s="12">
        <f>+F352++H352++J352++L352++N352++P352++R352++T352++V352++X352++Z352++AB352++AD352+0</f>
        <v>0</v>
      </c>
      <c r="AH352" s="11">
        <f>G352+I352+K352+M352+O352+Q352+S352+U352+W352+Y352+AA352+AC352+AE352+0</f>
        <v>0</v>
      </c>
      <c r="AI352" s="6"/>
    </row>
    <row r="353" spans="1:35" x14ac:dyDescent="0.2">
      <c r="A353" s="4"/>
      <c r="B353" s="17">
        <v>345</v>
      </c>
      <c r="C353" s="41" t="s">
        <v>714</v>
      </c>
      <c r="D353" s="53"/>
      <c r="E353" s="15" t="s">
        <v>715</v>
      </c>
      <c r="F353" s="30"/>
      <c r="G353" s="31"/>
      <c r="H353" s="30"/>
      <c r="I353" s="58"/>
      <c r="J353" s="30"/>
      <c r="K353" s="58"/>
      <c r="L353" s="30"/>
      <c r="M353" s="58"/>
      <c r="N353" s="30"/>
      <c r="O353" s="58"/>
      <c r="P353" s="30"/>
      <c r="Q353" s="58"/>
      <c r="R353" s="30"/>
      <c r="S353" s="58"/>
      <c r="T353" s="30"/>
      <c r="U353" s="58"/>
      <c r="V353" s="30"/>
      <c r="W353" s="58"/>
      <c r="X353" s="30"/>
      <c r="Y353" s="58"/>
      <c r="Z353" s="30"/>
      <c r="AA353" s="58"/>
      <c r="AB353" s="30"/>
      <c r="AC353" s="58"/>
      <c r="AD353" s="30"/>
      <c r="AE353" s="58"/>
      <c r="AF353" s="55">
        <v>25000</v>
      </c>
      <c r="AG353" s="12">
        <f>+F353++H353++J353++L353++N353++P353++R353++T353++V353++X353++Z353++AB353++AD353+0</f>
        <v>0</v>
      </c>
      <c r="AH353" s="11">
        <f>G353+I353+K353+M353+O353+Q353+S353+U353+W353+Y353+AA353+AC353+AE353+0</f>
        <v>0</v>
      </c>
      <c r="AI353" s="6"/>
    </row>
    <row r="354" spans="1:35" x14ac:dyDescent="0.2">
      <c r="A354" s="4"/>
      <c r="B354" s="17">
        <v>346</v>
      </c>
      <c r="C354" s="41" t="s">
        <v>716</v>
      </c>
      <c r="D354" s="53"/>
      <c r="E354" s="15" t="s">
        <v>717</v>
      </c>
      <c r="F354" s="30"/>
      <c r="G354" s="31"/>
      <c r="H354" s="30"/>
      <c r="I354" s="58"/>
      <c r="J354" s="30"/>
      <c r="K354" s="58"/>
      <c r="L354" s="30"/>
      <c r="M354" s="58"/>
      <c r="N354" s="30"/>
      <c r="O354" s="58"/>
      <c r="P354" s="30"/>
      <c r="Q354" s="58"/>
      <c r="R354" s="30"/>
      <c r="S354" s="58"/>
      <c r="T354" s="30"/>
      <c r="U354" s="58"/>
      <c r="V354" s="30"/>
      <c r="W354" s="58"/>
      <c r="X354" s="30"/>
      <c r="Y354" s="58"/>
      <c r="Z354" s="30"/>
      <c r="AA354" s="58"/>
      <c r="AB354" s="30"/>
      <c r="AC354" s="58"/>
      <c r="AD354" s="30"/>
      <c r="AE354" s="58"/>
      <c r="AF354" s="55">
        <v>40000</v>
      </c>
      <c r="AG354" s="12">
        <f>+F354++H354++J354++L354++N354++P354++R354++T354++V354++X354++Z354++AB354++AD354+0</f>
        <v>0</v>
      </c>
      <c r="AH354" s="11">
        <f>G354+I354+K354+M354+O354+Q354+S354+U354+W354+Y354+AA354+AC354+AE354+0</f>
        <v>0</v>
      </c>
      <c r="AI354" s="6"/>
    </row>
    <row r="355" spans="1:35" x14ac:dyDescent="0.2">
      <c r="A355" s="4"/>
      <c r="B355" s="17">
        <v>347</v>
      </c>
      <c r="C355" s="41" t="s">
        <v>718</v>
      </c>
      <c r="D355" s="53"/>
      <c r="E355" s="15" t="s">
        <v>719</v>
      </c>
      <c r="F355" s="30"/>
      <c r="G355" s="31"/>
      <c r="H355" s="30"/>
      <c r="I355" s="58"/>
      <c r="J355" s="30"/>
      <c r="K355" s="58"/>
      <c r="L355" s="30"/>
      <c r="M355" s="58"/>
      <c r="N355" s="30"/>
      <c r="O355" s="58"/>
      <c r="P355" s="30"/>
      <c r="Q355" s="58"/>
      <c r="R355" s="30"/>
      <c r="S355" s="58"/>
      <c r="T355" s="30"/>
      <c r="U355" s="58"/>
      <c r="V355" s="30"/>
      <c r="W355" s="58"/>
      <c r="X355" s="30"/>
      <c r="Y355" s="58"/>
      <c r="Z355" s="30"/>
      <c r="AA355" s="58"/>
      <c r="AB355" s="30"/>
      <c r="AC355" s="58"/>
      <c r="AD355" s="30"/>
      <c r="AE355" s="58"/>
      <c r="AF355" s="55">
        <v>300000</v>
      </c>
      <c r="AG355" s="12">
        <f>+F355++H355++J355++L355++N355++P355++R355++T355++V355++X355++Z355++AB355++AD355+0</f>
        <v>0</v>
      </c>
      <c r="AH355" s="11">
        <f>G355+I355+K355+M355+O355+Q355+S355+U355+W355+Y355+AA355+AC355+AE355+0</f>
        <v>0</v>
      </c>
      <c r="AI355" s="6"/>
    </row>
    <row r="356" spans="1:35" x14ac:dyDescent="0.2">
      <c r="A356" s="4"/>
      <c r="B356" s="17">
        <v>348</v>
      </c>
      <c r="C356" s="41" t="s">
        <v>720</v>
      </c>
      <c r="D356" s="53"/>
      <c r="E356" s="15" t="s">
        <v>721</v>
      </c>
      <c r="F356" s="30"/>
      <c r="G356" s="31"/>
      <c r="H356" s="30"/>
      <c r="I356" s="58"/>
      <c r="J356" s="30"/>
      <c r="K356" s="58"/>
      <c r="L356" s="30"/>
      <c r="M356" s="58"/>
      <c r="N356" s="30"/>
      <c r="O356" s="58"/>
      <c r="P356" s="30"/>
      <c r="Q356" s="58"/>
      <c r="R356" s="30"/>
      <c r="S356" s="58"/>
      <c r="T356" s="30"/>
      <c r="U356" s="58"/>
      <c r="V356" s="30"/>
      <c r="W356" s="58"/>
      <c r="X356" s="30"/>
      <c r="Y356" s="58"/>
      <c r="Z356" s="30"/>
      <c r="AA356" s="58"/>
      <c r="AB356" s="30"/>
      <c r="AC356" s="58"/>
      <c r="AD356" s="30"/>
      <c r="AE356" s="58"/>
      <c r="AF356" s="55">
        <v>160000</v>
      </c>
      <c r="AG356" s="12">
        <f>+F356++H356++J356++L356++N356++P356++R356++T356++V356++X356++Z356++AB356++AD356+0</f>
        <v>0</v>
      </c>
      <c r="AH356" s="11">
        <f>G356+I356+K356+M356+O356+Q356+S356+U356+W356+Y356+AA356+AC356+AE356+0</f>
        <v>0</v>
      </c>
      <c r="AI356" s="6"/>
    </row>
    <row r="357" spans="1:35" x14ac:dyDescent="0.2">
      <c r="A357" s="4"/>
      <c r="B357" s="17">
        <v>349</v>
      </c>
      <c r="C357" s="41" t="s">
        <v>722</v>
      </c>
      <c r="D357" s="53"/>
      <c r="E357" s="15" t="s">
        <v>723</v>
      </c>
      <c r="F357" s="30"/>
      <c r="G357" s="31"/>
      <c r="H357" s="30"/>
      <c r="I357" s="58"/>
      <c r="J357" s="30"/>
      <c r="K357" s="58"/>
      <c r="L357" s="30"/>
      <c r="M357" s="58"/>
      <c r="N357" s="30"/>
      <c r="O357" s="58"/>
      <c r="P357" s="30"/>
      <c r="Q357" s="58"/>
      <c r="R357" s="30"/>
      <c r="S357" s="58"/>
      <c r="T357" s="30"/>
      <c r="U357" s="58"/>
      <c r="V357" s="30"/>
      <c r="W357" s="58"/>
      <c r="X357" s="30"/>
      <c r="Y357" s="58"/>
      <c r="Z357" s="30"/>
      <c r="AA357" s="58"/>
      <c r="AB357" s="30"/>
      <c r="AC357" s="58"/>
      <c r="AD357" s="30"/>
      <c r="AE357" s="58"/>
      <c r="AF357" s="55">
        <v>25000</v>
      </c>
      <c r="AG357" s="12">
        <f>+F357++H357++J357++L357++N357++P357++R357++T357++V357++X357++Z357++AB357++AD357+0</f>
        <v>0</v>
      </c>
      <c r="AH357" s="11">
        <f>G357+I357+K357+M357+O357+Q357+S357+U357+W357+Y357+AA357+AC357+AE357+0</f>
        <v>0</v>
      </c>
      <c r="AI357" s="6"/>
    </row>
    <row r="358" spans="1:35" x14ac:dyDescent="0.2">
      <c r="A358" s="4"/>
      <c r="B358" s="17">
        <v>350</v>
      </c>
      <c r="C358" s="41" t="s">
        <v>724</v>
      </c>
      <c r="D358" s="53"/>
      <c r="E358" s="15" t="s">
        <v>725</v>
      </c>
      <c r="F358" s="30"/>
      <c r="G358" s="31"/>
      <c r="H358" s="30"/>
      <c r="I358" s="58"/>
      <c r="J358" s="30"/>
      <c r="K358" s="58"/>
      <c r="L358" s="30"/>
      <c r="M358" s="58"/>
      <c r="N358" s="30"/>
      <c r="O358" s="58"/>
      <c r="P358" s="30"/>
      <c r="Q358" s="58"/>
      <c r="R358" s="30"/>
      <c r="S358" s="58"/>
      <c r="T358" s="30"/>
      <c r="U358" s="58"/>
      <c r="V358" s="30"/>
      <c r="W358" s="58"/>
      <c r="X358" s="30"/>
      <c r="Y358" s="58"/>
      <c r="Z358" s="30"/>
      <c r="AA358" s="58"/>
      <c r="AB358" s="30"/>
      <c r="AC358" s="58"/>
      <c r="AD358" s="30"/>
      <c r="AE358" s="58"/>
      <c r="AF358" s="55">
        <v>27000</v>
      </c>
      <c r="AG358" s="12">
        <f>+F358++H358++J358++L358++N358++P358++R358++T358++V358++X358++Z358++AB358++AD358+0</f>
        <v>0</v>
      </c>
      <c r="AH358" s="11">
        <f>G358+I358+K358+M358+O358+Q358+S358+U358+W358+Y358+AA358+AC358+AE358+0</f>
        <v>0</v>
      </c>
      <c r="AI358" s="6"/>
    </row>
    <row r="359" spans="1:35" x14ac:dyDescent="0.2">
      <c r="A359" s="4"/>
      <c r="B359" s="17">
        <v>351</v>
      </c>
      <c r="C359" s="41" t="s">
        <v>726</v>
      </c>
      <c r="D359" s="53"/>
      <c r="E359" s="15" t="s">
        <v>727</v>
      </c>
      <c r="F359" s="30"/>
      <c r="G359" s="31"/>
      <c r="H359" s="30"/>
      <c r="I359" s="58"/>
      <c r="J359" s="30"/>
      <c r="K359" s="58"/>
      <c r="L359" s="30"/>
      <c r="M359" s="58"/>
      <c r="N359" s="30"/>
      <c r="O359" s="58"/>
      <c r="P359" s="30"/>
      <c r="Q359" s="58"/>
      <c r="R359" s="30"/>
      <c r="S359" s="58"/>
      <c r="T359" s="30"/>
      <c r="U359" s="58"/>
      <c r="V359" s="30"/>
      <c r="W359" s="58"/>
      <c r="X359" s="30"/>
      <c r="Y359" s="58"/>
      <c r="Z359" s="30"/>
      <c r="AA359" s="58"/>
      <c r="AB359" s="30"/>
      <c r="AC359" s="58"/>
      <c r="AD359" s="30"/>
      <c r="AE359" s="58"/>
      <c r="AF359" s="55">
        <v>13000</v>
      </c>
      <c r="AG359" s="12">
        <f>+F359++H359++J359++L359++N359++P359++R359++T359++V359++X359++Z359++AB359++AD359+0</f>
        <v>0</v>
      </c>
      <c r="AH359" s="11">
        <f>G359+I359+K359+M359+O359+Q359+S359+U359+W359+Y359+AA359+AC359+AE359+0</f>
        <v>0</v>
      </c>
      <c r="AI359" s="6"/>
    </row>
    <row r="360" spans="1:35" x14ac:dyDescent="0.2">
      <c r="A360" s="4"/>
      <c r="B360" s="17">
        <v>352</v>
      </c>
      <c r="C360" s="41" t="s">
        <v>728</v>
      </c>
      <c r="D360" s="53"/>
      <c r="E360" s="15" t="s">
        <v>729</v>
      </c>
      <c r="F360" s="30"/>
      <c r="G360" s="31"/>
      <c r="H360" s="30"/>
      <c r="I360" s="58"/>
      <c r="J360" s="30"/>
      <c r="K360" s="58"/>
      <c r="L360" s="30"/>
      <c r="M360" s="58"/>
      <c r="N360" s="30"/>
      <c r="O360" s="58"/>
      <c r="P360" s="30"/>
      <c r="Q360" s="58"/>
      <c r="R360" s="30"/>
      <c r="S360" s="58"/>
      <c r="T360" s="30"/>
      <c r="U360" s="58"/>
      <c r="V360" s="30"/>
      <c r="W360" s="58"/>
      <c r="X360" s="30"/>
      <c r="Y360" s="58"/>
      <c r="Z360" s="30"/>
      <c r="AA360" s="58"/>
      <c r="AB360" s="30"/>
      <c r="AC360" s="58"/>
      <c r="AD360" s="30"/>
      <c r="AE360" s="58"/>
      <c r="AF360" s="55">
        <v>250000</v>
      </c>
      <c r="AG360" s="12">
        <f>+F360++H360++J360++L360++N360++P360++R360++T360++V360++X360++Z360++AB360++AD360+0</f>
        <v>0</v>
      </c>
      <c r="AH360" s="11">
        <f>G360+I360+K360+M360+O360+Q360+S360+U360+W360+Y360+AA360+AC360+AE360+0</f>
        <v>0</v>
      </c>
      <c r="AI360" s="6"/>
    </row>
    <row r="361" spans="1:35" x14ac:dyDescent="0.2">
      <c r="A361" s="4"/>
      <c r="B361" s="17">
        <v>353</v>
      </c>
      <c r="C361" s="41" t="s">
        <v>730</v>
      </c>
      <c r="D361" s="53"/>
      <c r="E361" s="15" t="s">
        <v>731</v>
      </c>
      <c r="F361" s="30"/>
      <c r="G361" s="31"/>
      <c r="H361" s="30"/>
      <c r="I361" s="58"/>
      <c r="J361" s="30"/>
      <c r="K361" s="58"/>
      <c r="L361" s="30"/>
      <c r="M361" s="58"/>
      <c r="N361" s="30"/>
      <c r="O361" s="58"/>
      <c r="P361" s="30"/>
      <c r="Q361" s="58"/>
      <c r="R361" s="30"/>
      <c r="S361" s="58"/>
      <c r="T361" s="30"/>
      <c r="U361" s="58"/>
      <c r="V361" s="30"/>
      <c r="W361" s="58"/>
      <c r="X361" s="30"/>
      <c r="Y361" s="58"/>
      <c r="Z361" s="30"/>
      <c r="AA361" s="58"/>
      <c r="AB361" s="30"/>
      <c r="AC361" s="58"/>
      <c r="AD361" s="30"/>
      <c r="AE361" s="58"/>
      <c r="AF361" s="55">
        <v>25000</v>
      </c>
      <c r="AG361" s="12">
        <f>+F361++H361++J361++L361++N361++P361++R361++T361++V361++X361++Z361++AB361++AD361+0</f>
        <v>0</v>
      </c>
      <c r="AH361" s="11">
        <f>G361+I361+K361+M361+O361+Q361+S361+U361+W361+Y361+AA361+AC361+AE361+0</f>
        <v>0</v>
      </c>
      <c r="AI361" s="6"/>
    </row>
    <row r="362" spans="1:35" x14ac:dyDescent="0.2">
      <c r="A362" s="4"/>
      <c r="B362" s="17">
        <v>354</v>
      </c>
      <c r="C362" s="41" t="s">
        <v>732</v>
      </c>
      <c r="D362" s="53"/>
      <c r="E362" s="15" t="s">
        <v>733</v>
      </c>
      <c r="F362" s="30"/>
      <c r="G362" s="31"/>
      <c r="H362" s="30"/>
      <c r="I362" s="58"/>
      <c r="J362" s="30"/>
      <c r="K362" s="58"/>
      <c r="L362" s="30"/>
      <c r="M362" s="58"/>
      <c r="N362" s="30"/>
      <c r="O362" s="58"/>
      <c r="P362" s="30"/>
      <c r="Q362" s="58"/>
      <c r="R362" s="30"/>
      <c r="S362" s="58"/>
      <c r="T362" s="30"/>
      <c r="U362" s="58"/>
      <c r="V362" s="30"/>
      <c r="W362" s="58"/>
      <c r="X362" s="30"/>
      <c r="Y362" s="58"/>
      <c r="Z362" s="30"/>
      <c r="AA362" s="58"/>
      <c r="AB362" s="30"/>
      <c r="AC362" s="58"/>
      <c r="AD362" s="30"/>
      <c r="AE362" s="58"/>
      <c r="AF362" s="55">
        <v>200000</v>
      </c>
      <c r="AG362" s="12">
        <f>+F362++H362++J362++L362++N362++P362++R362++T362++V362++X362++Z362++AB362++AD362+0</f>
        <v>0</v>
      </c>
      <c r="AH362" s="11">
        <f>G362+I362+K362+M362+O362+Q362+S362+U362+W362+Y362+AA362+AC362+AE362+0</f>
        <v>0</v>
      </c>
      <c r="AI362" s="6"/>
    </row>
    <row r="363" spans="1:35" x14ac:dyDescent="0.2">
      <c r="A363" s="4"/>
      <c r="B363" s="17">
        <v>355</v>
      </c>
      <c r="C363" s="41" t="s">
        <v>734</v>
      </c>
      <c r="D363" s="53"/>
      <c r="E363" s="15" t="s">
        <v>735</v>
      </c>
      <c r="F363" s="30"/>
      <c r="G363" s="31"/>
      <c r="H363" s="30"/>
      <c r="I363" s="58"/>
      <c r="J363" s="30"/>
      <c r="K363" s="58"/>
      <c r="L363" s="30"/>
      <c r="M363" s="58"/>
      <c r="N363" s="30"/>
      <c r="O363" s="58"/>
      <c r="P363" s="30"/>
      <c r="Q363" s="58"/>
      <c r="R363" s="30"/>
      <c r="S363" s="58"/>
      <c r="T363" s="30"/>
      <c r="U363" s="58"/>
      <c r="V363" s="30"/>
      <c r="W363" s="58"/>
      <c r="X363" s="30"/>
      <c r="Y363" s="58"/>
      <c r="Z363" s="30"/>
      <c r="AA363" s="58"/>
      <c r="AB363" s="30"/>
      <c r="AC363" s="58"/>
      <c r="AD363" s="30"/>
      <c r="AE363" s="58"/>
      <c r="AF363" s="55">
        <v>50000</v>
      </c>
      <c r="AG363" s="12">
        <f>+F363++H363++J363++L363++N363++P363++R363++T363++V363++X363++Z363++AB363++AD363+0</f>
        <v>0</v>
      </c>
      <c r="AH363" s="11">
        <f>G363+I363+K363+M363+O363+Q363+S363+U363+W363+Y363+AA363+AC363+AE363+0</f>
        <v>0</v>
      </c>
      <c r="AI363" s="6"/>
    </row>
    <row r="364" spans="1:35" x14ac:dyDescent="0.2">
      <c r="A364" s="4"/>
      <c r="B364" s="17">
        <v>356</v>
      </c>
      <c r="C364" s="41" t="s">
        <v>736</v>
      </c>
      <c r="D364" s="53"/>
      <c r="E364" s="15" t="s">
        <v>737</v>
      </c>
      <c r="F364" s="30"/>
      <c r="G364" s="31"/>
      <c r="H364" s="30"/>
      <c r="I364" s="58"/>
      <c r="J364" s="30"/>
      <c r="K364" s="58"/>
      <c r="L364" s="30"/>
      <c r="M364" s="58"/>
      <c r="N364" s="30"/>
      <c r="O364" s="58"/>
      <c r="P364" s="30"/>
      <c r="Q364" s="58"/>
      <c r="R364" s="30"/>
      <c r="S364" s="58"/>
      <c r="T364" s="30"/>
      <c r="U364" s="58"/>
      <c r="V364" s="30"/>
      <c r="W364" s="58"/>
      <c r="X364" s="30"/>
      <c r="Y364" s="58"/>
      <c r="Z364" s="30"/>
      <c r="AA364" s="58"/>
      <c r="AB364" s="30"/>
      <c r="AC364" s="58"/>
      <c r="AD364" s="30"/>
      <c r="AE364" s="58"/>
      <c r="AF364" s="55">
        <v>25000</v>
      </c>
      <c r="AG364" s="12">
        <f>+F364++H364++J364++L364++N364++P364++R364++T364++V364++X364++Z364++AB364++AD364+0</f>
        <v>0</v>
      </c>
      <c r="AH364" s="11">
        <f>G364+I364+K364+M364+O364+Q364+S364+U364+W364+Y364+AA364+AC364+AE364+0</f>
        <v>0</v>
      </c>
      <c r="AI364" s="6"/>
    </row>
    <row r="365" spans="1:35" x14ac:dyDescent="0.2">
      <c r="A365" s="4"/>
      <c r="B365" s="17">
        <v>357</v>
      </c>
      <c r="C365" s="41" t="s">
        <v>738</v>
      </c>
      <c r="D365" s="53"/>
      <c r="E365" s="15" t="s">
        <v>739</v>
      </c>
      <c r="F365" s="30"/>
      <c r="G365" s="31"/>
      <c r="H365" s="30"/>
      <c r="I365" s="58"/>
      <c r="J365" s="30"/>
      <c r="K365" s="58"/>
      <c r="L365" s="30"/>
      <c r="M365" s="58"/>
      <c r="N365" s="30"/>
      <c r="O365" s="58"/>
      <c r="P365" s="30"/>
      <c r="Q365" s="58"/>
      <c r="R365" s="30"/>
      <c r="S365" s="58"/>
      <c r="T365" s="30"/>
      <c r="U365" s="58"/>
      <c r="V365" s="30"/>
      <c r="W365" s="58"/>
      <c r="X365" s="30"/>
      <c r="Y365" s="58"/>
      <c r="Z365" s="30"/>
      <c r="AA365" s="58"/>
      <c r="AB365" s="30"/>
      <c r="AC365" s="58"/>
      <c r="AD365" s="30"/>
      <c r="AE365" s="58"/>
      <c r="AF365" s="55">
        <v>75000</v>
      </c>
      <c r="AG365" s="12">
        <f>+F365++H365++J365++L365++N365++P365++R365++T365++V365++X365++Z365++AB365++AD365+0</f>
        <v>0</v>
      </c>
      <c r="AH365" s="11">
        <f>G365+I365+K365+M365+O365+Q365+S365+U365+W365+Y365+AA365+AC365+AE365+0</f>
        <v>0</v>
      </c>
      <c r="AI365" s="6"/>
    </row>
    <row r="366" spans="1:35" x14ac:dyDescent="0.2">
      <c r="A366" s="4"/>
      <c r="B366" s="17">
        <v>358</v>
      </c>
      <c r="C366" s="41" t="s">
        <v>740</v>
      </c>
      <c r="D366" s="53"/>
      <c r="E366" s="15" t="s">
        <v>741</v>
      </c>
      <c r="F366" s="30"/>
      <c r="G366" s="31"/>
      <c r="H366" s="30"/>
      <c r="I366" s="58"/>
      <c r="J366" s="30"/>
      <c r="K366" s="58"/>
      <c r="L366" s="30"/>
      <c r="M366" s="58"/>
      <c r="N366" s="30"/>
      <c r="O366" s="58"/>
      <c r="P366" s="30"/>
      <c r="Q366" s="58"/>
      <c r="R366" s="30"/>
      <c r="S366" s="58"/>
      <c r="T366" s="30"/>
      <c r="U366" s="58"/>
      <c r="V366" s="30"/>
      <c r="W366" s="58"/>
      <c r="X366" s="30"/>
      <c r="Y366" s="58"/>
      <c r="Z366" s="30"/>
      <c r="AA366" s="58"/>
      <c r="AB366" s="30"/>
      <c r="AC366" s="58"/>
      <c r="AD366" s="30"/>
      <c r="AE366" s="58"/>
      <c r="AF366" s="55">
        <v>20000</v>
      </c>
      <c r="AG366" s="12">
        <f>+F366++H366++J366++L366++N366++P366++R366++T366++V366++X366++Z366++AB366++AD366+0</f>
        <v>0</v>
      </c>
      <c r="AH366" s="11">
        <f>G366+I366+K366+M366+O366+Q366+S366+U366+W366+Y366+AA366+AC366+AE366+0</f>
        <v>0</v>
      </c>
      <c r="AI366" s="6"/>
    </row>
    <row r="367" spans="1:35" x14ac:dyDescent="0.2">
      <c r="A367" s="4"/>
      <c r="B367" s="17">
        <v>359</v>
      </c>
      <c r="C367" s="41" t="s">
        <v>742</v>
      </c>
      <c r="D367" s="53"/>
      <c r="E367" s="15" t="s">
        <v>743</v>
      </c>
      <c r="F367" s="30"/>
      <c r="G367" s="31"/>
      <c r="H367" s="30"/>
      <c r="I367" s="58"/>
      <c r="J367" s="30"/>
      <c r="K367" s="58"/>
      <c r="L367" s="30"/>
      <c r="M367" s="58"/>
      <c r="N367" s="30"/>
      <c r="O367" s="58"/>
      <c r="P367" s="30"/>
      <c r="Q367" s="58"/>
      <c r="R367" s="30"/>
      <c r="S367" s="58"/>
      <c r="T367" s="30"/>
      <c r="U367" s="58"/>
      <c r="V367" s="30"/>
      <c r="W367" s="58"/>
      <c r="X367" s="30"/>
      <c r="Y367" s="58"/>
      <c r="Z367" s="30"/>
      <c r="AA367" s="58"/>
      <c r="AB367" s="30"/>
      <c r="AC367" s="58"/>
      <c r="AD367" s="30"/>
      <c r="AE367" s="58"/>
      <c r="AF367" s="55">
        <v>20000</v>
      </c>
      <c r="AG367" s="12">
        <f>+F367++H367++J367++L367++N367++P367++R367++T367++V367++X367++Z367++AB367++AD367+0</f>
        <v>0</v>
      </c>
      <c r="AH367" s="11">
        <f>G367+I367+K367+M367+O367+Q367+S367+U367+W367+Y367+AA367+AC367+AE367+0</f>
        <v>0</v>
      </c>
      <c r="AI367" s="6"/>
    </row>
    <row r="368" spans="1:35" x14ac:dyDescent="0.2">
      <c r="A368" s="4"/>
      <c r="B368" s="17">
        <v>360</v>
      </c>
      <c r="C368" s="41" t="s">
        <v>744</v>
      </c>
      <c r="D368" s="53"/>
      <c r="E368" s="15" t="s">
        <v>745</v>
      </c>
      <c r="F368" s="30"/>
      <c r="G368" s="31"/>
      <c r="H368" s="30"/>
      <c r="I368" s="58"/>
      <c r="J368" s="30"/>
      <c r="K368" s="58"/>
      <c r="L368" s="30"/>
      <c r="M368" s="58"/>
      <c r="N368" s="30"/>
      <c r="O368" s="58"/>
      <c r="P368" s="30"/>
      <c r="Q368" s="58"/>
      <c r="R368" s="30"/>
      <c r="S368" s="58"/>
      <c r="T368" s="30"/>
      <c r="U368" s="58"/>
      <c r="V368" s="30"/>
      <c r="W368" s="58"/>
      <c r="X368" s="30"/>
      <c r="Y368" s="58"/>
      <c r="Z368" s="30"/>
      <c r="AA368" s="58"/>
      <c r="AB368" s="30"/>
      <c r="AC368" s="58"/>
      <c r="AD368" s="30"/>
      <c r="AE368" s="58"/>
      <c r="AF368" s="55">
        <v>273000</v>
      </c>
      <c r="AG368" s="12">
        <f>+F368++H368++J368++L368++N368++P368++R368++T368++V368++X368++Z368++AB368++AD368+0</f>
        <v>0</v>
      </c>
      <c r="AH368" s="11">
        <f>G368+I368+K368+M368+O368+Q368+S368+U368+W368+Y368+AA368+AC368+AE368+0</f>
        <v>0</v>
      </c>
      <c r="AI368" s="6"/>
    </row>
    <row r="369" spans="1:35" x14ac:dyDescent="0.2">
      <c r="A369" s="4"/>
      <c r="B369" s="17">
        <v>361</v>
      </c>
      <c r="C369" s="41" t="s">
        <v>746</v>
      </c>
      <c r="D369" s="53"/>
      <c r="E369" s="15" t="s">
        <v>747</v>
      </c>
      <c r="F369" s="30"/>
      <c r="G369" s="31"/>
      <c r="H369" s="30"/>
      <c r="I369" s="58"/>
      <c r="J369" s="30"/>
      <c r="K369" s="58"/>
      <c r="L369" s="30"/>
      <c r="M369" s="58"/>
      <c r="N369" s="30"/>
      <c r="O369" s="58"/>
      <c r="P369" s="30"/>
      <c r="Q369" s="58"/>
      <c r="R369" s="30"/>
      <c r="S369" s="58"/>
      <c r="T369" s="30"/>
      <c r="U369" s="58"/>
      <c r="V369" s="30"/>
      <c r="W369" s="58"/>
      <c r="X369" s="30"/>
      <c r="Y369" s="58"/>
      <c r="Z369" s="30"/>
      <c r="AA369" s="58"/>
      <c r="AB369" s="30"/>
      <c r="AC369" s="58"/>
      <c r="AD369" s="30"/>
      <c r="AE369" s="58"/>
      <c r="AF369" s="55">
        <v>40000</v>
      </c>
      <c r="AG369" s="12">
        <f>+F369++H369++J369++L369++N369++P369++R369++T369++V369++X369++Z369++AB369++AD369+0</f>
        <v>0</v>
      </c>
      <c r="AH369" s="11">
        <f>G369+I369+K369+M369+O369+Q369+S369+U369+W369+Y369+AA369+AC369+AE369+0</f>
        <v>0</v>
      </c>
      <c r="AI369" s="6"/>
    </row>
    <row r="370" spans="1:35" x14ac:dyDescent="0.2">
      <c r="A370" s="4"/>
      <c r="B370" s="17">
        <v>362</v>
      </c>
      <c r="C370" s="41" t="s">
        <v>748</v>
      </c>
      <c r="D370" s="53"/>
      <c r="E370" s="15" t="s">
        <v>749</v>
      </c>
      <c r="F370" s="30"/>
      <c r="G370" s="31"/>
      <c r="H370" s="30"/>
      <c r="I370" s="58"/>
      <c r="J370" s="30"/>
      <c r="K370" s="58"/>
      <c r="L370" s="30"/>
      <c r="M370" s="58"/>
      <c r="N370" s="30"/>
      <c r="O370" s="58"/>
      <c r="P370" s="30"/>
      <c r="Q370" s="58"/>
      <c r="R370" s="30"/>
      <c r="S370" s="58"/>
      <c r="T370" s="30"/>
      <c r="U370" s="58"/>
      <c r="V370" s="30"/>
      <c r="W370" s="58"/>
      <c r="X370" s="30"/>
      <c r="Y370" s="58"/>
      <c r="Z370" s="30"/>
      <c r="AA370" s="58"/>
      <c r="AB370" s="30"/>
      <c r="AC370" s="58"/>
      <c r="AD370" s="30"/>
      <c r="AE370" s="58"/>
      <c r="AF370" s="55">
        <v>100000</v>
      </c>
      <c r="AG370" s="12">
        <f>+F370++H370++J370++L370++N370++P370++R370++T370++V370++X370++Z370++AB370++AD370+0</f>
        <v>0</v>
      </c>
      <c r="AH370" s="11">
        <f>G370+I370+K370+M370+O370+Q370+S370+U370+W370+Y370+AA370+AC370+AE370+0</f>
        <v>0</v>
      </c>
      <c r="AI370" s="6"/>
    </row>
    <row r="371" spans="1:35" x14ac:dyDescent="0.2">
      <c r="A371" s="4"/>
      <c r="B371" s="17">
        <v>363</v>
      </c>
      <c r="C371" s="41" t="s">
        <v>750</v>
      </c>
      <c r="D371" s="53"/>
      <c r="E371" s="15" t="s">
        <v>751</v>
      </c>
      <c r="F371" s="30"/>
      <c r="G371" s="31"/>
      <c r="H371" s="30"/>
      <c r="I371" s="58"/>
      <c r="J371" s="30"/>
      <c r="K371" s="58"/>
      <c r="L371" s="30"/>
      <c r="M371" s="58"/>
      <c r="N371" s="30"/>
      <c r="O371" s="58"/>
      <c r="P371" s="30"/>
      <c r="Q371" s="58"/>
      <c r="R371" s="30"/>
      <c r="S371" s="58"/>
      <c r="T371" s="30"/>
      <c r="U371" s="58"/>
      <c r="V371" s="30"/>
      <c r="W371" s="58"/>
      <c r="X371" s="30"/>
      <c r="Y371" s="58"/>
      <c r="Z371" s="30"/>
      <c r="AA371" s="58"/>
      <c r="AB371" s="30"/>
      <c r="AC371" s="58"/>
      <c r="AD371" s="30"/>
      <c r="AE371" s="58"/>
      <c r="AF371" s="55">
        <v>30000</v>
      </c>
      <c r="AG371" s="12">
        <f>+F371++H371++J371++L371++N371++P371++R371++T371++V371++X371++Z371++AB371++AD371+0</f>
        <v>0</v>
      </c>
      <c r="AH371" s="11">
        <f>G371+I371+K371+M371+O371+Q371+S371+U371+W371+Y371+AA371+AC371+AE371+0</f>
        <v>0</v>
      </c>
      <c r="AI371" s="6"/>
    </row>
    <row r="372" spans="1:35" x14ac:dyDescent="0.2">
      <c r="A372" s="4"/>
      <c r="B372" s="17">
        <v>364</v>
      </c>
      <c r="C372" s="41" t="s">
        <v>752</v>
      </c>
      <c r="D372" s="53"/>
      <c r="E372" s="15" t="s">
        <v>753</v>
      </c>
      <c r="F372" s="30"/>
      <c r="G372" s="31"/>
      <c r="H372" s="30"/>
      <c r="I372" s="58"/>
      <c r="J372" s="30"/>
      <c r="K372" s="58"/>
      <c r="L372" s="30"/>
      <c r="M372" s="58"/>
      <c r="N372" s="30"/>
      <c r="O372" s="58"/>
      <c r="P372" s="30"/>
      <c r="Q372" s="58"/>
      <c r="R372" s="30"/>
      <c r="S372" s="58"/>
      <c r="T372" s="30"/>
      <c r="U372" s="58"/>
      <c r="V372" s="30"/>
      <c r="W372" s="58"/>
      <c r="X372" s="30"/>
      <c r="Y372" s="58"/>
      <c r="Z372" s="30"/>
      <c r="AA372" s="58"/>
      <c r="AB372" s="30"/>
      <c r="AC372" s="58"/>
      <c r="AD372" s="30"/>
      <c r="AE372" s="58"/>
      <c r="AF372" s="55">
        <v>120000</v>
      </c>
      <c r="AG372" s="12">
        <f>+F372++H372++J372++L372++N372++P372++R372++T372++V372++X372++Z372++AB372++AD372+0</f>
        <v>0</v>
      </c>
      <c r="AH372" s="11">
        <f>G372+I372+K372+M372+O372+Q372+S372+U372+W372+Y372+AA372+AC372+AE372+0</f>
        <v>0</v>
      </c>
      <c r="AI372" s="6"/>
    </row>
    <row r="373" spans="1:35" x14ac:dyDescent="0.2">
      <c r="A373" s="4"/>
      <c r="B373" s="17">
        <v>365</v>
      </c>
      <c r="C373" s="41" t="s">
        <v>754</v>
      </c>
      <c r="D373" s="53"/>
      <c r="E373" s="15" t="s">
        <v>755</v>
      </c>
      <c r="F373" s="30"/>
      <c r="G373" s="31"/>
      <c r="H373" s="30"/>
      <c r="I373" s="58"/>
      <c r="J373" s="30"/>
      <c r="K373" s="58"/>
      <c r="L373" s="30"/>
      <c r="M373" s="58"/>
      <c r="N373" s="30"/>
      <c r="O373" s="58"/>
      <c r="P373" s="30"/>
      <c r="Q373" s="58"/>
      <c r="R373" s="30"/>
      <c r="S373" s="58"/>
      <c r="T373" s="30"/>
      <c r="U373" s="58"/>
      <c r="V373" s="30"/>
      <c r="W373" s="58"/>
      <c r="X373" s="30"/>
      <c r="Y373" s="58"/>
      <c r="Z373" s="30"/>
      <c r="AA373" s="58"/>
      <c r="AB373" s="30"/>
      <c r="AC373" s="58"/>
      <c r="AD373" s="30"/>
      <c r="AE373" s="58"/>
      <c r="AF373" s="55">
        <v>50000</v>
      </c>
      <c r="AG373" s="12">
        <f>+F373++H373++J373++L373++N373++P373++R373++T373++V373++X373++Z373++AB373++AD373+0</f>
        <v>0</v>
      </c>
      <c r="AH373" s="11">
        <f>G373+I373+K373+M373+O373+Q373+S373+U373+W373+Y373+AA373+AC373+AE373+0</f>
        <v>0</v>
      </c>
      <c r="AI373" s="6"/>
    </row>
    <row r="374" spans="1:35" x14ac:dyDescent="0.2">
      <c r="A374" s="4"/>
      <c r="B374" s="17">
        <v>366</v>
      </c>
      <c r="C374" s="41" t="s">
        <v>756</v>
      </c>
      <c r="D374" s="53"/>
      <c r="E374" s="15" t="s">
        <v>757</v>
      </c>
      <c r="F374" s="30"/>
      <c r="G374" s="31"/>
      <c r="H374" s="30"/>
      <c r="I374" s="58"/>
      <c r="J374" s="30"/>
      <c r="K374" s="58"/>
      <c r="L374" s="30"/>
      <c r="M374" s="58"/>
      <c r="N374" s="30"/>
      <c r="O374" s="58"/>
      <c r="P374" s="30"/>
      <c r="Q374" s="58"/>
      <c r="R374" s="30"/>
      <c r="S374" s="58"/>
      <c r="T374" s="30"/>
      <c r="U374" s="58"/>
      <c r="V374" s="30"/>
      <c r="W374" s="58"/>
      <c r="X374" s="30"/>
      <c r="Y374" s="58"/>
      <c r="Z374" s="30"/>
      <c r="AA374" s="58"/>
      <c r="AB374" s="30"/>
      <c r="AC374" s="58"/>
      <c r="AD374" s="30"/>
      <c r="AE374" s="58"/>
      <c r="AF374" s="55">
        <v>5000</v>
      </c>
      <c r="AG374" s="12">
        <f>+F374++H374++J374++L374++N374++P374++R374++T374++V374++X374++Z374++AB374++AD374+0</f>
        <v>0</v>
      </c>
      <c r="AH374" s="11">
        <f>G374+I374+K374+M374+O374+Q374+S374+U374+W374+Y374+AA374+AC374+AE374+0</f>
        <v>0</v>
      </c>
      <c r="AI374" s="6"/>
    </row>
    <row r="375" spans="1:35" x14ac:dyDescent="0.2">
      <c r="A375" s="4"/>
      <c r="B375" s="17">
        <v>367</v>
      </c>
      <c r="C375" s="41" t="s">
        <v>758</v>
      </c>
      <c r="D375" s="53"/>
      <c r="E375" s="15" t="s">
        <v>759</v>
      </c>
      <c r="F375" s="30"/>
      <c r="G375" s="31"/>
      <c r="H375" s="30"/>
      <c r="I375" s="58"/>
      <c r="J375" s="30"/>
      <c r="K375" s="58"/>
      <c r="L375" s="30"/>
      <c r="M375" s="58"/>
      <c r="N375" s="30"/>
      <c r="O375" s="58"/>
      <c r="P375" s="30"/>
      <c r="Q375" s="58"/>
      <c r="R375" s="30"/>
      <c r="S375" s="58"/>
      <c r="T375" s="30"/>
      <c r="U375" s="58"/>
      <c r="V375" s="30"/>
      <c r="W375" s="58"/>
      <c r="X375" s="30"/>
      <c r="Y375" s="58"/>
      <c r="Z375" s="30"/>
      <c r="AA375" s="58"/>
      <c r="AB375" s="30"/>
      <c r="AC375" s="58"/>
      <c r="AD375" s="30"/>
      <c r="AE375" s="58"/>
      <c r="AF375" s="55">
        <v>35000</v>
      </c>
      <c r="AG375" s="12">
        <f>+F375++H375++J375++L375++N375++P375++R375++T375++V375++X375++Z375++AB375++AD375+0</f>
        <v>0</v>
      </c>
      <c r="AH375" s="11">
        <f>G375+I375+K375+M375+O375+Q375+S375+U375+W375+Y375+AA375+AC375+AE375+0</f>
        <v>0</v>
      </c>
      <c r="AI375" s="6"/>
    </row>
    <row r="376" spans="1:35" x14ac:dyDescent="0.2">
      <c r="A376" s="4"/>
      <c r="B376" s="17">
        <v>368</v>
      </c>
      <c r="C376" s="41" t="s">
        <v>760</v>
      </c>
      <c r="D376" s="53"/>
      <c r="E376" s="15" t="s">
        <v>761</v>
      </c>
      <c r="F376" s="30"/>
      <c r="G376" s="31"/>
      <c r="H376" s="30"/>
      <c r="I376" s="58"/>
      <c r="J376" s="30"/>
      <c r="K376" s="58"/>
      <c r="L376" s="30"/>
      <c r="M376" s="58"/>
      <c r="N376" s="30"/>
      <c r="O376" s="58"/>
      <c r="P376" s="30"/>
      <c r="Q376" s="58"/>
      <c r="R376" s="30"/>
      <c r="S376" s="58"/>
      <c r="T376" s="30"/>
      <c r="U376" s="58"/>
      <c r="V376" s="30"/>
      <c r="W376" s="58"/>
      <c r="X376" s="30"/>
      <c r="Y376" s="58"/>
      <c r="Z376" s="30"/>
      <c r="AA376" s="58"/>
      <c r="AB376" s="30"/>
      <c r="AC376" s="58"/>
      <c r="AD376" s="30"/>
      <c r="AE376" s="58"/>
      <c r="AF376" s="55">
        <v>20000</v>
      </c>
      <c r="AG376" s="12">
        <f>+F376++H376++J376++L376++N376++P376++R376++T376++V376++X376++Z376++AB376++AD376+0</f>
        <v>0</v>
      </c>
      <c r="AH376" s="11">
        <f>G376+I376+K376+M376+O376+Q376+S376+U376+W376+Y376+AA376+AC376+AE376+0</f>
        <v>0</v>
      </c>
      <c r="AI376" s="6"/>
    </row>
    <row r="377" spans="1:35" x14ac:dyDescent="0.2">
      <c r="A377" s="4"/>
      <c r="B377" s="17">
        <v>369</v>
      </c>
      <c r="C377" s="41" t="s">
        <v>762</v>
      </c>
      <c r="D377" s="53"/>
      <c r="E377" s="15" t="s">
        <v>763</v>
      </c>
      <c r="F377" s="30"/>
      <c r="G377" s="31"/>
      <c r="H377" s="30"/>
      <c r="I377" s="58"/>
      <c r="J377" s="30"/>
      <c r="K377" s="58"/>
      <c r="L377" s="30"/>
      <c r="M377" s="58"/>
      <c r="N377" s="30"/>
      <c r="O377" s="58"/>
      <c r="P377" s="30"/>
      <c r="Q377" s="58"/>
      <c r="R377" s="30"/>
      <c r="S377" s="58"/>
      <c r="T377" s="30"/>
      <c r="U377" s="58"/>
      <c r="V377" s="30"/>
      <c r="W377" s="58"/>
      <c r="X377" s="30"/>
      <c r="Y377" s="58"/>
      <c r="Z377" s="30"/>
      <c r="AA377" s="58"/>
      <c r="AB377" s="30"/>
      <c r="AC377" s="58"/>
      <c r="AD377" s="30"/>
      <c r="AE377" s="58"/>
      <c r="AF377" s="55">
        <v>25000</v>
      </c>
      <c r="AG377" s="12">
        <f>+F377++H377++J377++L377++N377++P377++R377++T377++V377++X377++Z377++AB377++AD377+0</f>
        <v>0</v>
      </c>
      <c r="AH377" s="11">
        <f>G377+I377+K377+M377+O377+Q377+S377+U377+W377+Y377+AA377+AC377+AE377+0</f>
        <v>0</v>
      </c>
      <c r="AI377" s="6"/>
    </row>
    <row r="378" spans="1:35" x14ac:dyDescent="0.2">
      <c r="A378" s="4"/>
      <c r="B378" s="17">
        <v>370</v>
      </c>
      <c r="C378" s="41" t="s">
        <v>764</v>
      </c>
      <c r="D378" s="53"/>
      <c r="E378" s="15" t="s">
        <v>765</v>
      </c>
      <c r="F378" s="30"/>
      <c r="G378" s="31"/>
      <c r="H378" s="30"/>
      <c r="I378" s="58"/>
      <c r="J378" s="30"/>
      <c r="K378" s="58"/>
      <c r="L378" s="30"/>
      <c r="M378" s="58"/>
      <c r="N378" s="30"/>
      <c r="O378" s="58"/>
      <c r="P378" s="30"/>
      <c r="Q378" s="58"/>
      <c r="R378" s="30"/>
      <c r="S378" s="58"/>
      <c r="T378" s="30"/>
      <c r="U378" s="58"/>
      <c r="V378" s="30"/>
      <c r="W378" s="58"/>
      <c r="X378" s="30"/>
      <c r="Y378" s="58"/>
      <c r="Z378" s="30"/>
      <c r="AA378" s="58"/>
      <c r="AB378" s="30"/>
      <c r="AC378" s="58"/>
      <c r="AD378" s="30"/>
      <c r="AE378" s="58"/>
      <c r="AF378" s="55">
        <v>200000</v>
      </c>
      <c r="AG378" s="12">
        <f>+F378++H378++J378++L378++N378++P378++R378++T378++V378++X378++Z378++AB378++AD378+0</f>
        <v>0</v>
      </c>
      <c r="AH378" s="11">
        <f>G378+I378+K378+M378+O378+Q378+S378+U378+W378+Y378+AA378+AC378+AE378+0</f>
        <v>0</v>
      </c>
      <c r="AI378" s="6"/>
    </row>
    <row r="379" spans="1:35" x14ac:dyDescent="0.2">
      <c r="A379" s="4"/>
      <c r="B379" s="17">
        <v>371</v>
      </c>
      <c r="C379" s="41" t="s">
        <v>766</v>
      </c>
      <c r="D379" s="53"/>
      <c r="E379" s="15" t="s">
        <v>767</v>
      </c>
      <c r="F379" s="30"/>
      <c r="G379" s="31"/>
      <c r="H379" s="30"/>
      <c r="I379" s="58"/>
      <c r="J379" s="30"/>
      <c r="K379" s="58"/>
      <c r="L379" s="30"/>
      <c r="M379" s="58"/>
      <c r="N379" s="30"/>
      <c r="O379" s="58"/>
      <c r="P379" s="30"/>
      <c r="Q379" s="58"/>
      <c r="R379" s="30"/>
      <c r="S379" s="58"/>
      <c r="T379" s="30"/>
      <c r="U379" s="58"/>
      <c r="V379" s="30"/>
      <c r="W379" s="58"/>
      <c r="X379" s="30"/>
      <c r="Y379" s="58"/>
      <c r="Z379" s="30"/>
      <c r="AA379" s="58"/>
      <c r="AB379" s="30"/>
      <c r="AC379" s="58"/>
      <c r="AD379" s="30"/>
      <c r="AE379" s="58"/>
      <c r="AF379" s="55">
        <v>40000</v>
      </c>
      <c r="AG379" s="12">
        <f>+F379++H379++J379++L379++N379++P379++R379++T379++V379++X379++Z379++AB379++AD379+0</f>
        <v>0</v>
      </c>
      <c r="AH379" s="11">
        <f>G379+I379+K379+M379+O379+Q379+S379+U379+W379+Y379+AA379+AC379+AE379+0</f>
        <v>0</v>
      </c>
      <c r="AI379" s="6"/>
    </row>
    <row r="380" spans="1:35" x14ac:dyDescent="0.2">
      <c r="A380" s="4"/>
      <c r="B380" s="17">
        <v>372</v>
      </c>
      <c r="C380" s="41" t="s">
        <v>768</v>
      </c>
      <c r="D380" s="53"/>
      <c r="E380" s="15" t="s">
        <v>769</v>
      </c>
      <c r="F380" s="30"/>
      <c r="G380" s="31"/>
      <c r="H380" s="30"/>
      <c r="I380" s="58"/>
      <c r="J380" s="30"/>
      <c r="K380" s="58"/>
      <c r="L380" s="30"/>
      <c r="M380" s="58"/>
      <c r="N380" s="30"/>
      <c r="O380" s="58"/>
      <c r="P380" s="30"/>
      <c r="Q380" s="58"/>
      <c r="R380" s="30"/>
      <c r="S380" s="58"/>
      <c r="T380" s="30"/>
      <c r="U380" s="58"/>
      <c r="V380" s="30"/>
      <c r="W380" s="58"/>
      <c r="X380" s="30"/>
      <c r="Y380" s="58"/>
      <c r="Z380" s="30"/>
      <c r="AA380" s="58"/>
      <c r="AB380" s="30"/>
      <c r="AC380" s="58"/>
      <c r="AD380" s="30"/>
      <c r="AE380" s="58"/>
      <c r="AF380" s="55">
        <v>150000</v>
      </c>
      <c r="AG380" s="12">
        <f>+F380++H380++J380++L380++N380++P380++R380++T380++V380++X380++Z380++AB380++AD380+0</f>
        <v>0</v>
      </c>
      <c r="AH380" s="11">
        <f>G380+I380+K380+M380+O380+Q380+S380+U380+W380+Y380+AA380+AC380+AE380+0</f>
        <v>0</v>
      </c>
      <c r="AI380" s="6"/>
    </row>
    <row r="381" spans="1:35" x14ac:dyDescent="0.2">
      <c r="A381" s="4"/>
      <c r="B381" s="17">
        <v>373</v>
      </c>
      <c r="C381" s="41" t="s">
        <v>770</v>
      </c>
      <c r="D381" s="53"/>
      <c r="E381" s="15" t="s">
        <v>771</v>
      </c>
      <c r="F381" s="30"/>
      <c r="G381" s="31"/>
      <c r="H381" s="30"/>
      <c r="I381" s="58"/>
      <c r="J381" s="30"/>
      <c r="K381" s="58"/>
      <c r="L381" s="30"/>
      <c r="M381" s="58"/>
      <c r="N381" s="30"/>
      <c r="O381" s="58"/>
      <c r="P381" s="30"/>
      <c r="Q381" s="58"/>
      <c r="R381" s="30"/>
      <c r="S381" s="58"/>
      <c r="T381" s="30"/>
      <c r="U381" s="58"/>
      <c r="V381" s="30"/>
      <c r="W381" s="58"/>
      <c r="X381" s="30"/>
      <c r="Y381" s="58"/>
      <c r="Z381" s="30"/>
      <c r="AA381" s="58"/>
      <c r="AB381" s="30"/>
      <c r="AC381" s="58"/>
      <c r="AD381" s="30"/>
      <c r="AE381" s="58"/>
      <c r="AF381" s="55">
        <v>40000</v>
      </c>
      <c r="AG381" s="12">
        <f>+F381++H381++J381++L381++N381++P381++R381++T381++V381++X381++Z381++AB381++AD381+0</f>
        <v>0</v>
      </c>
      <c r="AH381" s="11">
        <f>G381+I381+K381+M381+O381+Q381+S381+U381+W381+Y381+AA381+AC381+AE381+0</f>
        <v>0</v>
      </c>
      <c r="AI381" s="6"/>
    </row>
    <row r="382" spans="1:35" x14ac:dyDescent="0.2">
      <c r="A382" s="4"/>
      <c r="B382" s="17">
        <v>374</v>
      </c>
      <c r="C382" s="41" t="s">
        <v>772</v>
      </c>
      <c r="D382" s="53"/>
      <c r="E382" s="15" t="s">
        <v>773</v>
      </c>
      <c r="F382" s="30"/>
      <c r="G382" s="31"/>
      <c r="H382" s="30"/>
      <c r="I382" s="58"/>
      <c r="J382" s="30"/>
      <c r="K382" s="58"/>
      <c r="L382" s="30"/>
      <c r="M382" s="58"/>
      <c r="N382" s="30"/>
      <c r="O382" s="58"/>
      <c r="P382" s="30"/>
      <c r="Q382" s="58"/>
      <c r="R382" s="30"/>
      <c r="S382" s="58"/>
      <c r="T382" s="30"/>
      <c r="U382" s="58"/>
      <c r="V382" s="30"/>
      <c r="W382" s="58"/>
      <c r="X382" s="30"/>
      <c r="Y382" s="58"/>
      <c r="Z382" s="30"/>
      <c r="AA382" s="58"/>
      <c r="AB382" s="30"/>
      <c r="AC382" s="58"/>
      <c r="AD382" s="30"/>
      <c r="AE382" s="58"/>
      <c r="AF382" s="55">
        <v>100000</v>
      </c>
      <c r="AG382" s="12">
        <f>+F382++H382++J382++L382++N382++P382++R382++T382++V382++X382++Z382++AB382++AD382+0</f>
        <v>0</v>
      </c>
      <c r="AH382" s="11">
        <f>G382+I382+K382+M382+O382+Q382+S382+U382+W382+Y382+AA382+AC382+AE382+0</f>
        <v>0</v>
      </c>
      <c r="AI382" s="6"/>
    </row>
    <row r="383" spans="1:35" x14ac:dyDescent="0.2">
      <c r="A383" s="4"/>
      <c r="B383" s="17">
        <v>375</v>
      </c>
      <c r="C383" s="41" t="s">
        <v>774</v>
      </c>
      <c r="D383" s="53"/>
      <c r="E383" s="15" t="s">
        <v>775</v>
      </c>
      <c r="F383" s="30"/>
      <c r="G383" s="31"/>
      <c r="H383" s="30"/>
      <c r="I383" s="58"/>
      <c r="J383" s="30"/>
      <c r="K383" s="58"/>
      <c r="L383" s="30"/>
      <c r="M383" s="58"/>
      <c r="N383" s="30"/>
      <c r="O383" s="58"/>
      <c r="P383" s="30"/>
      <c r="Q383" s="58"/>
      <c r="R383" s="30"/>
      <c r="S383" s="58"/>
      <c r="T383" s="30"/>
      <c r="U383" s="58"/>
      <c r="V383" s="30"/>
      <c r="W383" s="58"/>
      <c r="X383" s="30"/>
      <c r="Y383" s="58"/>
      <c r="Z383" s="30"/>
      <c r="AA383" s="58"/>
      <c r="AB383" s="30"/>
      <c r="AC383" s="58"/>
      <c r="AD383" s="30"/>
      <c r="AE383" s="58"/>
      <c r="AF383" s="55">
        <v>10000</v>
      </c>
      <c r="AG383" s="12">
        <f>+F383++H383++J383++L383++N383++P383++R383++T383++V383++X383++Z383++AB383++AD383+0</f>
        <v>0</v>
      </c>
      <c r="AH383" s="11">
        <f>G383+I383+K383+M383+O383+Q383+S383+U383+W383+Y383+AA383+AC383+AE383+0</f>
        <v>0</v>
      </c>
      <c r="AI383" s="6"/>
    </row>
    <row r="384" spans="1:35" x14ac:dyDescent="0.2">
      <c r="A384" s="4"/>
      <c r="B384" s="17">
        <v>376</v>
      </c>
      <c r="C384" s="41" t="s">
        <v>776</v>
      </c>
      <c r="D384" s="53"/>
      <c r="E384" s="15" t="s">
        <v>777</v>
      </c>
      <c r="F384" s="30"/>
      <c r="G384" s="31"/>
      <c r="H384" s="30"/>
      <c r="I384" s="58"/>
      <c r="J384" s="30"/>
      <c r="K384" s="58"/>
      <c r="L384" s="30"/>
      <c r="M384" s="58"/>
      <c r="N384" s="30"/>
      <c r="O384" s="58"/>
      <c r="P384" s="30"/>
      <c r="Q384" s="58"/>
      <c r="R384" s="30"/>
      <c r="S384" s="58"/>
      <c r="T384" s="30"/>
      <c r="U384" s="58"/>
      <c r="V384" s="30"/>
      <c r="W384" s="58"/>
      <c r="X384" s="30"/>
      <c r="Y384" s="58"/>
      <c r="Z384" s="30"/>
      <c r="AA384" s="58"/>
      <c r="AB384" s="30"/>
      <c r="AC384" s="58"/>
      <c r="AD384" s="30"/>
      <c r="AE384" s="58"/>
      <c r="AF384" s="55">
        <v>500000</v>
      </c>
      <c r="AG384" s="12">
        <f>+F384++H384++J384++L384++N384++P384++R384++T384++V384++X384++Z384++AB384++AD384+0</f>
        <v>0</v>
      </c>
      <c r="AH384" s="11">
        <f>G384+I384+K384+M384+O384+Q384+S384+U384+W384+Y384+AA384+AC384+AE384+0</f>
        <v>0</v>
      </c>
      <c r="AI384" s="6"/>
    </row>
    <row r="385" spans="1:35" x14ac:dyDescent="0.2">
      <c r="A385" s="4"/>
      <c r="B385" s="17">
        <v>377</v>
      </c>
      <c r="C385" s="41" t="s">
        <v>778</v>
      </c>
      <c r="D385" s="53"/>
      <c r="E385" s="15" t="s">
        <v>779</v>
      </c>
      <c r="F385" s="30"/>
      <c r="G385" s="31"/>
      <c r="H385" s="30"/>
      <c r="I385" s="58"/>
      <c r="J385" s="30"/>
      <c r="K385" s="58"/>
      <c r="L385" s="30"/>
      <c r="M385" s="58"/>
      <c r="N385" s="30"/>
      <c r="O385" s="58"/>
      <c r="P385" s="30"/>
      <c r="Q385" s="58"/>
      <c r="R385" s="30"/>
      <c r="S385" s="58"/>
      <c r="T385" s="30"/>
      <c r="U385" s="58"/>
      <c r="V385" s="30"/>
      <c r="W385" s="58"/>
      <c r="X385" s="30"/>
      <c r="Y385" s="58"/>
      <c r="Z385" s="30"/>
      <c r="AA385" s="58"/>
      <c r="AB385" s="30"/>
      <c r="AC385" s="58"/>
      <c r="AD385" s="30"/>
      <c r="AE385" s="58"/>
      <c r="AF385" s="55">
        <v>450000</v>
      </c>
      <c r="AG385" s="12">
        <f>+F385++H385++J385++L385++N385++P385++R385++T385++V385++X385++Z385++AB385++AD385+0</f>
        <v>0</v>
      </c>
      <c r="AH385" s="11">
        <f>G385+I385+K385+M385+O385+Q385+S385+U385+W385+Y385+AA385+AC385+AE385+0</f>
        <v>0</v>
      </c>
      <c r="AI385" s="6"/>
    </row>
    <row r="386" spans="1:35" x14ac:dyDescent="0.2">
      <c r="A386" s="4"/>
      <c r="B386" s="17">
        <v>378</v>
      </c>
      <c r="C386" s="41" t="s">
        <v>780</v>
      </c>
      <c r="D386" s="53"/>
      <c r="E386" s="15" t="s">
        <v>781</v>
      </c>
      <c r="F386" s="30"/>
      <c r="G386" s="31"/>
      <c r="H386" s="30"/>
      <c r="I386" s="58"/>
      <c r="J386" s="30"/>
      <c r="K386" s="58"/>
      <c r="L386" s="30"/>
      <c r="M386" s="58"/>
      <c r="N386" s="30"/>
      <c r="O386" s="58"/>
      <c r="P386" s="30"/>
      <c r="Q386" s="58"/>
      <c r="R386" s="30"/>
      <c r="S386" s="58"/>
      <c r="T386" s="30"/>
      <c r="U386" s="58"/>
      <c r="V386" s="30"/>
      <c r="W386" s="58"/>
      <c r="X386" s="30"/>
      <c r="Y386" s="58"/>
      <c r="Z386" s="30"/>
      <c r="AA386" s="58"/>
      <c r="AB386" s="30"/>
      <c r="AC386" s="58"/>
      <c r="AD386" s="30"/>
      <c r="AE386" s="58"/>
      <c r="AF386" s="55">
        <v>15000</v>
      </c>
      <c r="AG386" s="12">
        <f>+F386++H386++J386++L386++N386++P386++R386++T386++V386++X386++Z386++AB386++AD386+0</f>
        <v>0</v>
      </c>
      <c r="AH386" s="11">
        <f>G386+I386+K386+M386+O386+Q386+S386+U386+W386+Y386+AA386+AC386+AE386+0</f>
        <v>0</v>
      </c>
      <c r="AI386" s="6"/>
    </row>
    <row r="387" spans="1:35" x14ac:dyDescent="0.2">
      <c r="A387" s="4"/>
      <c r="B387" s="17">
        <v>379</v>
      </c>
      <c r="C387" s="41" t="s">
        <v>782</v>
      </c>
      <c r="D387" s="53"/>
      <c r="E387" s="15" t="s">
        <v>783</v>
      </c>
      <c r="F387" s="30"/>
      <c r="G387" s="31"/>
      <c r="H387" s="30"/>
      <c r="I387" s="58"/>
      <c r="J387" s="30"/>
      <c r="K387" s="58"/>
      <c r="L387" s="30"/>
      <c r="M387" s="58"/>
      <c r="N387" s="30"/>
      <c r="O387" s="58"/>
      <c r="P387" s="30"/>
      <c r="Q387" s="58"/>
      <c r="R387" s="30"/>
      <c r="S387" s="58"/>
      <c r="T387" s="30"/>
      <c r="U387" s="58"/>
      <c r="V387" s="30"/>
      <c r="W387" s="58"/>
      <c r="X387" s="30"/>
      <c r="Y387" s="58"/>
      <c r="Z387" s="30"/>
      <c r="AA387" s="58"/>
      <c r="AB387" s="30"/>
      <c r="AC387" s="58"/>
      <c r="AD387" s="30"/>
      <c r="AE387" s="58"/>
      <c r="AF387" s="55">
        <v>10000</v>
      </c>
      <c r="AG387" s="12">
        <f>+F387++H387++J387++L387++N387++P387++R387++T387++V387++X387++Z387++AB387++AD387+0</f>
        <v>0</v>
      </c>
      <c r="AH387" s="11">
        <f>G387+I387+K387+M387+O387+Q387+S387+U387+W387+Y387+AA387+AC387+AE387+0</f>
        <v>0</v>
      </c>
      <c r="AI387" s="6"/>
    </row>
    <row r="388" spans="1:35" x14ac:dyDescent="0.2">
      <c r="A388" s="4"/>
      <c r="B388" s="17">
        <v>380</v>
      </c>
      <c r="C388" s="41" t="s">
        <v>784</v>
      </c>
      <c r="D388" s="53"/>
      <c r="E388" s="15" t="s">
        <v>785</v>
      </c>
      <c r="F388" s="30"/>
      <c r="G388" s="31"/>
      <c r="H388" s="30"/>
      <c r="I388" s="58"/>
      <c r="J388" s="30"/>
      <c r="K388" s="58"/>
      <c r="L388" s="30"/>
      <c r="M388" s="58"/>
      <c r="N388" s="30"/>
      <c r="O388" s="58"/>
      <c r="P388" s="30"/>
      <c r="Q388" s="58"/>
      <c r="R388" s="30"/>
      <c r="S388" s="58"/>
      <c r="T388" s="30"/>
      <c r="U388" s="58"/>
      <c r="V388" s="30"/>
      <c r="W388" s="58"/>
      <c r="X388" s="30"/>
      <c r="Y388" s="58"/>
      <c r="Z388" s="30"/>
      <c r="AA388" s="58"/>
      <c r="AB388" s="30"/>
      <c r="AC388" s="58"/>
      <c r="AD388" s="30"/>
      <c r="AE388" s="58"/>
      <c r="AF388" s="55">
        <v>30000</v>
      </c>
      <c r="AG388" s="12">
        <f>+F388++H388++J388++L388++N388++P388++R388++T388++V388++X388++Z388++AB388++AD388+0</f>
        <v>0</v>
      </c>
      <c r="AH388" s="11">
        <f>G388+I388+K388+M388+O388+Q388+S388+U388+W388+Y388+AA388+AC388+AE388+0</f>
        <v>0</v>
      </c>
      <c r="AI388" s="6"/>
    </row>
    <row r="389" spans="1:35" x14ac:dyDescent="0.2">
      <c r="A389" s="4"/>
      <c r="B389" s="17">
        <v>381</v>
      </c>
      <c r="C389" s="41" t="s">
        <v>786</v>
      </c>
      <c r="D389" s="53"/>
      <c r="E389" s="15" t="s">
        <v>787</v>
      </c>
      <c r="F389" s="30"/>
      <c r="G389" s="31"/>
      <c r="H389" s="30"/>
      <c r="I389" s="58"/>
      <c r="J389" s="30"/>
      <c r="K389" s="58"/>
      <c r="L389" s="30"/>
      <c r="M389" s="58"/>
      <c r="N389" s="30"/>
      <c r="O389" s="58"/>
      <c r="P389" s="30"/>
      <c r="Q389" s="58"/>
      <c r="R389" s="30"/>
      <c r="S389" s="58"/>
      <c r="T389" s="30"/>
      <c r="U389" s="58"/>
      <c r="V389" s="30"/>
      <c r="W389" s="58"/>
      <c r="X389" s="30"/>
      <c r="Y389" s="58"/>
      <c r="Z389" s="30"/>
      <c r="AA389" s="58"/>
      <c r="AB389" s="30"/>
      <c r="AC389" s="58"/>
      <c r="AD389" s="30"/>
      <c r="AE389" s="58"/>
      <c r="AF389" s="55">
        <v>30000</v>
      </c>
      <c r="AG389" s="12">
        <f>+F389++H389++J389++L389++N389++P389++R389++T389++V389++X389++Z389++AB389++AD389+0</f>
        <v>0</v>
      </c>
      <c r="AH389" s="11">
        <f>G389+I389+K389+M389+O389+Q389+S389+U389+W389+Y389+AA389+AC389+AE389+0</f>
        <v>0</v>
      </c>
      <c r="AI389" s="6"/>
    </row>
    <row r="390" spans="1:35" x14ac:dyDescent="0.2">
      <c r="A390" s="4"/>
      <c r="B390" s="17">
        <v>382</v>
      </c>
      <c r="C390" s="41" t="s">
        <v>788</v>
      </c>
      <c r="D390" s="53"/>
      <c r="E390" s="15" t="s">
        <v>789</v>
      </c>
      <c r="F390" s="30"/>
      <c r="G390" s="31"/>
      <c r="H390" s="30"/>
      <c r="I390" s="58"/>
      <c r="J390" s="30"/>
      <c r="K390" s="58"/>
      <c r="L390" s="30"/>
      <c r="M390" s="58"/>
      <c r="N390" s="30"/>
      <c r="O390" s="58"/>
      <c r="P390" s="30"/>
      <c r="Q390" s="58"/>
      <c r="R390" s="30"/>
      <c r="S390" s="58"/>
      <c r="T390" s="30"/>
      <c r="U390" s="58"/>
      <c r="V390" s="30"/>
      <c r="W390" s="58"/>
      <c r="X390" s="30"/>
      <c r="Y390" s="58"/>
      <c r="Z390" s="30"/>
      <c r="AA390" s="58"/>
      <c r="AB390" s="30"/>
      <c r="AC390" s="58"/>
      <c r="AD390" s="30"/>
      <c r="AE390" s="58"/>
      <c r="AF390" s="55">
        <v>41355.480000000003</v>
      </c>
      <c r="AG390" s="12">
        <f>+F390++H390++J390++L390++N390++P390++R390++T390++V390++X390++Z390++AB390++AD390+0</f>
        <v>0</v>
      </c>
      <c r="AH390" s="11">
        <f>G390+I390+K390+M390+O390+Q390+S390+U390+W390+Y390+AA390+AC390+AE390+0</f>
        <v>0</v>
      </c>
      <c r="AI390" s="6"/>
    </row>
    <row r="391" spans="1:35" x14ac:dyDescent="0.2">
      <c r="A391" s="4"/>
      <c r="B391" s="17">
        <v>383</v>
      </c>
      <c r="C391" s="41" t="s">
        <v>790</v>
      </c>
      <c r="D391" s="53"/>
      <c r="E391" s="15" t="s">
        <v>791</v>
      </c>
      <c r="F391" s="30"/>
      <c r="G391" s="31"/>
      <c r="H391" s="30"/>
      <c r="I391" s="58"/>
      <c r="J391" s="30"/>
      <c r="K391" s="58"/>
      <c r="L391" s="30"/>
      <c r="M391" s="58"/>
      <c r="N391" s="30"/>
      <c r="O391" s="58"/>
      <c r="P391" s="30"/>
      <c r="Q391" s="58"/>
      <c r="R391" s="30"/>
      <c r="S391" s="58"/>
      <c r="T391" s="30"/>
      <c r="U391" s="58"/>
      <c r="V391" s="30"/>
      <c r="W391" s="58"/>
      <c r="X391" s="30"/>
      <c r="Y391" s="58"/>
      <c r="Z391" s="30"/>
      <c r="AA391" s="58"/>
      <c r="AB391" s="30"/>
      <c r="AC391" s="58"/>
      <c r="AD391" s="30"/>
      <c r="AE391" s="58"/>
      <c r="AF391" s="55">
        <v>100000</v>
      </c>
      <c r="AG391" s="12">
        <f>+F391++H391++J391++L391++N391++P391++R391++T391++V391++X391++Z391++AB391++AD391+0</f>
        <v>0</v>
      </c>
      <c r="AH391" s="11">
        <f>G391+I391+K391+M391+O391+Q391+S391+U391+W391+Y391+AA391+AC391+AE391+0</f>
        <v>0</v>
      </c>
      <c r="AI391" s="6"/>
    </row>
    <row r="392" spans="1:35" x14ac:dyDescent="0.2">
      <c r="A392" s="4"/>
      <c r="B392" s="17">
        <v>384</v>
      </c>
      <c r="C392" s="41" t="s">
        <v>792</v>
      </c>
      <c r="D392" s="53"/>
      <c r="E392" s="15" t="s">
        <v>793</v>
      </c>
      <c r="F392" s="30"/>
      <c r="G392" s="31"/>
      <c r="H392" s="30"/>
      <c r="I392" s="58"/>
      <c r="J392" s="30"/>
      <c r="K392" s="58"/>
      <c r="L392" s="30"/>
      <c r="M392" s="58"/>
      <c r="N392" s="30"/>
      <c r="O392" s="58"/>
      <c r="P392" s="30"/>
      <c r="Q392" s="58"/>
      <c r="R392" s="30"/>
      <c r="S392" s="58"/>
      <c r="T392" s="30"/>
      <c r="U392" s="58"/>
      <c r="V392" s="30"/>
      <c r="W392" s="58"/>
      <c r="X392" s="30"/>
      <c r="Y392" s="58"/>
      <c r="Z392" s="30"/>
      <c r="AA392" s="58"/>
      <c r="AB392" s="30"/>
      <c r="AC392" s="58"/>
      <c r="AD392" s="30"/>
      <c r="AE392" s="58"/>
      <c r="AF392" s="55">
        <v>50000</v>
      </c>
      <c r="AG392" s="12">
        <f>+F392++H392++J392++L392++N392++P392++R392++T392++V392++X392++Z392++AB392++AD392+0</f>
        <v>0</v>
      </c>
      <c r="AH392" s="11">
        <f>G392+I392+K392+M392+O392+Q392+S392+U392+W392+Y392+AA392+AC392+AE392+0</f>
        <v>0</v>
      </c>
      <c r="AI392" s="6"/>
    </row>
    <row r="393" spans="1:35" x14ac:dyDescent="0.2">
      <c r="A393" s="4"/>
      <c r="B393" s="17">
        <v>385</v>
      </c>
      <c r="C393" s="41" t="s">
        <v>794</v>
      </c>
      <c r="D393" s="53"/>
      <c r="E393" s="15" t="s">
        <v>795</v>
      </c>
      <c r="F393" s="30"/>
      <c r="G393" s="31"/>
      <c r="H393" s="30"/>
      <c r="I393" s="58"/>
      <c r="J393" s="30"/>
      <c r="K393" s="58"/>
      <c r="L393" s="30"/>
      <c r="M393" s="58"/>
      <c r="N393" s="30"/>
      <c r="O393" s="58"/>
      <c r="P393" s="30"/>
      <c r="Q393" s="58"/>
      <c r="R393" s="30"/>
      <c r="S393" s="58"/>
      <c r="T393" s="30"/>
      <c r="U393" s="58"/>
      <c r="V393" s="30"/>
      <c r="W393" s="58"/>
      <c r="X393" s="30"/>
      <c r="Y393" s="58"/>
      <c r="Z393" s="30"/>
      <c r="AA393" s="58"/>
      <c r="AB393" s="30"/>
      <c r="AC393" s="58"/>
      <c r="AD393" s="30"/>
      <c r="AE393" s="58"/>
      <c r="AF393" s="55">
        <v>6000</v>
      </c>
      <c r="AG393" s="12">
        <f>+F393++H393++J393++L393++N393++P393++R393++T393++V393++X393++Z393++AB393++AD393+0</f>
        <v>0</v>
      </c>
      <c r="AH393" s="11">
        <f>G393+I393+K393+M393+O393+Q393+S393+U393+W393+Y393+AA393+AC393+AE393+0</f>
        <v>0</v>
      </c>
      <c r="AI393" s="6"/>
    </row>
    <row r="394" spans="1:35" x14ac:dyDescent="0.2">
      <c r="A394" s="4"/>
      <c r="B394" s="17">
        <v>386</v>
      </c>
      <c r="C394" s="41" t="s">
        <v>796</v>
      </c>
      <c r="D394" s="53"/>
      <c r="E394" s="15" t="s">
        <v>797</v>
      </c>
      <c r="F394" s="30"/>
      <c r="G394" s="31"/>
      <c r="H394" s="30"/>
      <c r="I394" s="58"/>
      <c r="J394" s="30"/>
      <c r="K394" s="58"/>
      <c r="L394" s="30"/>
      <c r="M394" s="58"/>
      <c r="N394" s="30"/>
      <c r="O394" s="58"/>
      <c r="P394" s="30"/>
      <c r="Q394" s="58"/>
      <c r="R394" s="30"/>
      <c r="S394" s="58"/>
      <c r="T394" s="30"/>
      <c r="U394" s="58"/>
      <c r="V394" s="30"/>
      <c r="W394" s="58"/>
      <c r="X394" s="30"/>
      <c r="Y394" s="58"/>
      <c r="Z394" s="30"/>
      <c r="AA394" s="58"/>
      <c r="AB394" s="30"/>
      <c r="AC394" s="58"/>
      <c r="AD394" s="30"/>
      <c r="AE394" s="58"/>
      <c r="AF394" s="55">
        <v>30000</v>
      </c>
      <c r="AG394" s="12">
        <f>+F394++H394++J394++L394++N394++P394++R394++T394++V394++X394++Z394++AB394++AD394+0</f>
        <v>0</v>
      </c>
      <c r="AH394" s="11">
        <f>G394+I394+K394+M394+O394+Q394+S394+U394+W394+Y394+AA394+AC394+AE394+0</f>
        <v>0</v>
      </c>
      <c r="AI394" s="6"/>
    </row>
    <row r="395" spans="1:35" x14ac:dyDescent="0.2">
      <c r="A395" s="4"/>
      <c r="B395" s="17">
        <v>387</v>
      </c>
      <c r="C395" s="41" t="s">
        <v>798</v>
      </c>
      <c r="D395" s="53"/>
      <c r="E395" s="15" t="s">
        <v>799</v>
      </c>
      <c r="F395" s="30"/>
      <c r="G395" s="31"/>
      <c r="H395" s="30"/>
      <c r="I395" s="58"/>
      <c r="J395" s="30"/>
      <c r="K395" s="58"/>
      <c r="L395" s="30"/>
      <c r="M395" s="58"/>
      <c r="N395" s="30"/>
      <c r="O395" s="58"/>
      <c r="P395" s="30"/>
      <c r="Q395" s="58"/>
      <c r="R395" s="30"/>
      <c r="S395" s="58"/>
      <c r="T395" s="30"/>
      <c r="U395" s="58"/>
      <c r="V395" s="30"/>
      <c r="W395" s="58"/>
      <c r="X395" s="30"/>
      <c r="Y395" s="58"/>
      <c r="Z395" s="30"/>
      <c r="AA395" s="58"/>
      <c r="AB395" s="30"/>
      <c r="AC395" s="58"/>
      <c r="AD395" s="30"/>
      <c r="AE395" s="58"/>
      <c r="AF395" s="55">
        <v>60000</v>
      </c>
      <c r="AG395" s="12">
        <f>+F395++H395++J395++L395++N395++P395++R395++T395++V395++X395++Z395++AB395++AD395+0</f>
        <v>0</v>
      </c>
      <c r="AH395" s="11">
        <f>G395+I395+K395+M395+O395+Q395+S395+U395+W395+Y395+AA395+AC395+AE395+0</f>
        <v>0</v>
      </c>
      <c r="AI395" s="6"/>
    </row>
    <row r="396" spans="1:35" x14ac:dyDescent="0.2">
      <c r="A396" s="4"/>
      <c r="B396" s="17">
        <v>388</v>
      </c>
      <c r="C396" s="41" t="s">
        <v>800</v>
      </c>
      <c r="D396" s="53"/>
      <c r="E396" s="15" t="s">
        <v>801</v>
      </c>
      <c r="F396" s="30"/>
      <c r="G396" s="31"/>
      <c r="H396" s="30"/>
      <c r="I396" s="58"/>
      <c r="J396" s="30"/>
      <c r="K396" s="58"/>
      <c r="L396" s="30"/>
      <c r="M396" s="58"/>
      <c r="N396" s="30"/>
      <c r="O396" s="58"/>
      <c r="P396" s="30"/>
      <c r="Q396" s="58"/>
      <c r="R396" s="30"/>
      <c r="S396" s="58"/>
      <c r="T396" s="30"/>
      <c r="U396" s="58"/>
      <c r="V396" s="30"/>
      <c r="W396" s="58"/>
      <c r="X396" s="30"/>
      <c r="Y396" s="58"/>
      <c r="Z396" s="30"/>
      <c r="AA396" s="58"/>
      <c r="AB396" s="30"/>
      <c r="AC396" s="58"/>
      <c r="AD396" s="30"/>
      <c r="AE396" s="58"/>
      <c r="AF396" s="55">
        <v>10000</v>
      </c>
      <c r="AG396" s="12">
        <f>+F396++H396++J396++L396++N396++P396++R396++T396++V396++X396++Z396++AB396++AD396+0</f>
        <v>0</v>
      </c>
      <c r="AH396" s="11">
        <f>G396+I396+K396+M396+O396+Q396+S396+U396+W396+Y396+AA396+AC396+AE396+0</f>
        <v>0</v>
      </c>
      <c r="AI396" s="6"/>
    </row>
    <row r="397" spans="1:35" x14ac:dyDescent="0.2">
      <c r="A397" s="4"/>
      <c r="B397" s="17">
        <v>389</v>
      </c>
      <c r="C397" s="41" t="s">
        <v>802</v>
      </c>
      <c r="D397" s="53"/>
      <c r="E397" s="15" t="s">
        <v>803</v>
      </c>
      <c r="F397" s="30"/>
      <c r="G397" s="31"/>
      <c r="H397" s="30"/>
      <c r="I397" s="58"/>
      <c r="J397" s="30"/>
      <c r="K397" s="58"/>
      <c r="L397" s="30"/>
      <c r="M397" s="58"/>
      <c r="N397" s="30"/>
      <c r="O397" s="58"/>
      <c r="P397" s="30"/>
      <c r="Q397" s="58"/>
      <c r="R397" s="30"/>
      <c r="S397" s="58"/>
      <c r="T397" s="30"/>
      <c r="U397" s="58"/>
      <c r="V397" s="30"/>
      <c r="W397" s="58"/>
      <c r="X397" s="30"/>
      <c r="Y397" s="58"/>
      <c r="Z397" s="30"/>
      <c r="AA397" s="58"/>
      <c r="AB397" s="30"/>
      <c r="AC397" s="58"/>
      <c r="AD397" s="30"/>
      <c r="AE397" s="58"/>
      <c r="AF397" s="55">
        <v>10000</v>
      </c>
      <c r="AG397" s="12">
        <f>+F397++H397++J397++L397++N397++P397++R397++T397++V397++X397++Z397++AB397++AD397+0</f>
        <v>0</v>
      </c>
      <c r="AH397" s="11">
        <f>G397+I397+K397+M397+O397+Q397+S397+U397+W397+Y397+AA397+AC397+AE397+0</f>
        <v>0</v>
      </c>
      <c r="AI397" s="6"/>
    </row>
    <row r="398" spans="1:35" x14ac:dyDescent="0.2">
      <c r="A398" s="4"/>
      <c r="B398" s="17">
        <v>390</v>
      </c>
      <c r="C398" s="41" t="s">
        <v>804</v>
      </c>
      <c r="D398" s="53"/>
      <c r="E398" s="15" t="s">
        <v>805</v>
      </c>
      <c r="F398" s="30"/>
      <c r="G398" s="31"/>
      <c r="H398" s="30"/>
      <c r="I398" s="58"/>
      <c r="J398" s="30"/>
      <c r="K398" s="58"/>
      <c r="L398" s="30"/>
      <c r="M398" s="58"/>
      <c r="N398" s="30"/>
      <c r="O398" s="58"/>
      <c r="P398" s="30"/>
      <c r="Q398" s="58"/>
      <c r="R398" s="30"/>
      <c r="S398" s="58"/>
      <c r="T398" s="30"/>
      <c r="U398" s="58"/>
      <c r="V398" s="30"/>
      <c r="W398" s="58"/>
      <c r="X398" s="30"/>
      <c r="Y398" s="58"/>
      <c r="Z398" s="30"/>
      <c r="AA398" s="58"/>
      <c r="AB398" s="30"/>
      <c r="AC398" s="58"/>
      <c r="AD398" s="30"/>
      <c r="AE398" s="58"/>
      <c r="AF398" s="55">
        <v>100000</v>
      </c>
      <c r="AG398" s="12">
        <f>+F398++H398++J398++L398++N398++P398++R398++T398++V398++X398++Z398++AB398++AD398+0</f>
        <v>0</v>
      </c>
      <c r="AH398" s="11">
        <f>G398+I398+K398+M398+O398+Q398+S398+U398+W398+Y398+AA398+AC398+AE398+0</f>
        <v>0</v>
      </c>
      <c r="AI398" s="6"/>
    </row>
    <row r="399" spans="1:35" x14ac:dyDescent="0.2">
      <c r="A399" s="4"/>
      <c r="B399" s="17">
        <v>391</v>
      </c>
      <c r="C399" s="41" t="s">
        <v>806</v>
      </c>
      <c r="D399" s="53"/>
      <c r="E399" s="15" t="s">
        <v>807</v>
      </c>
      <c r="F399" s="30"/>
      <c r="G399" s="31"/>
      <c r="H399" s="30"/>
      <c r="I399" s="58"/>
      <c r="J399" s="30"/>
      <c r="K399" s="58"/>
      <c r="L399" s="30"/>
      <c r="M399" s="58"/>
      <c r="N399" s="30"/>
      <c r="O399" s="58"/>
      <c r="P399" s="30"/>
      <c r="Q399" s="58"/>
      <c r="R399" s="30"/>
      <c r="S399" s="58"/>
      <c r="T399" s="30"/>
      <c r="U399" s="58"/>
      <c r="V399" s="30"/>
      <c r="W399" s="58"/>
      <c r="X399" s="30"/>
      <c r="Y399" s="58"/>
      <c r="Z399" s="30"/>
      <c r="AA399" s="58"/>
      <c r="AB399" s="30"/>
      <c r="AC399" s="58"/>
      <c r="AD399" s="30"/>
      <c r="AE399" s="58"/>
      <c r="AF399" s="55">
        <v>5000</v>
      </c>
      <c r="AG399" s="12">
        <f>+F399++H399++J399++L399++N399++P399++R399++T399++V399++X399++Z399++AB399++AD399+0</f>
        <v>0</v>
      </c>
      <c r="AH399" s="11">
        <f>G399+I399+K399+M399+O399+Q399+S399+U399+W399+Y399+AA399+AC399+AE399+0</f>
        <v>0</v>
      </c>
      <c r="AI399" s="6"/>
    </row>
    <row r="400" spans="1:35" x14ac:dyDescent="0.2">
      <c r="A400" s="4"/>
      <c r="B400" s="17">
        <v>392</v>
      </c>
      <c r="C400" s="41" t="s">
        <v>808</v>
      </c>
      <c r="D400" s="53"/>
      <c r="E400" s="15" t="s">
        <v>809</v>
      </c>
      <c r="F400" s="30"/>
      <c r="G400" s="31"/>
      <c r="H400" s="30"/>
      <c r="I400" s="58"/>
      <c r="J400" s="30"/>
      <c r="K400" s="58"/>
      <c r="L400" s="30"/>
      <c r="M400" s="58"/>
      <c r="N400" s="30"/>
      <c r="O400" s="58"/>
      <c r="P400" s="30"/>
      <c r="Q400" s="58"/>
      <c r="R400" s="30"/>
      <c r="S400" s="58"/>
      <c r="T400" s="30"/>
      <c r="U400" s="58"/>
      <c r="V400" s="30"/>
      <c r="W400" s="58"/>
      <c r="X400" s="30"/>
      <c r="Y400" s="58"/>
      <c r="Z400" s="30"/>
      <c r="AA400" s="58"/>
      <c r="AB400" s="30"/>
      <c r="AC400" s="58"/>
      <c r="AD400" s="30"/>
      <c r="AE400" s="58"/>
      <c r="AF400" s="55">
        <v>20000</v>
      </c>
      <c r="AG400" s="12">
        <f>+F400++H400++J400++L400++N400++P400++R400++T400++V400++X400++Z400++AB400++AD400+0</f>
        <v>0</v>
      </c>
      <c r="AH400" s="11">
        <f>G400+I400+K400+M400+O400+Q400+S400+U400+W400+Y400+AA400+AC400+AE400+0</f>
        <v>0</v>
      </c>
      <c r="AI400" s="6"/>
    </row>
    <row r="401" spans="1:35" x14ac:dyDescent="0.2">
      <c r="A401" s="4"/>
      <c r="B401" s="17">
        <v>393</v>
      </c>
      <c r="C401" s="41" t="s">
        <v>810</v>
      </c>
      <c r="D401" s="53"/>
      <c r="E401" s="15" t="s">
        <v>811</v>
      </c>
      <c r="F401" s="30"/>
      <c r="G401" s="31"/>
      <c r="H401" s="30"/>
      <c r="I401" s="58"/>
      <c r="J401" s="30"/>
      <c r="K401" s="58"/>
      <c r="L401" s="30"/>
      <c r="M401" s="58"/>
      <c r="N401" s="30"/>
      <c r="O401" s="58"/>
      <c r="P401" s="30"/>
      <c r="Q401" s="58"/>
      <c r="R401" s="30"/>
      <c r="S401" s="58"/>
      <c r="T401" s="30"/>
      <c r="U401" s="58"/>
      <c r="V401" s="30"/>
      <c r="W401" s="58"/>
      <c r="X401" s="30"/>
      <c r="Y401" s="58"/>
      <c r="Z401" s="30"/>
      <c r="AA401" s="58"/>
      <c r="AB401" s="30"/>
      <c r="AC401" s="58"/>
      <c r="AD401" s="30"/>
      <c r="AE401" s="58"/>
      <c r="AF401" s="55">
        <v>30000</v>
      </c>
      <c r="AG401" s="12">
        <f>+F401++H401++J401++L401++N401++P401++R401++T401++V401++X401++Z401++AB401++AD401+0</f>
        <v>0</v>
      </c>
      <c r="AH401" s="11">
        <f>G401+I401+K401+M401+O401+Q401+S401+U401+W401+Y401+AA401+AC401+AE401+0</f>
        <v>0</v>
      </c>
      <c r="AI401" s="6"/>
    </row>
    <row r="402" spans="1:35" x14ac:dyDescent="0.2">
      <c r="A402" s="4"/>
      <c r="B402" s="17">
        <v>394</v>
      </c>
      <c r="C402" s="41" t="s">
        <v>812</v>
      </c>
      <c r="D402" s="53"/>
      <c r="E402" s="15" t="s">
        <v>813</v>
      </c>
      <c r="F402" s="30"/>
      <c r="G402" s="31"/>
      <c r="H402" s="30"/>
      <c r="I402" s="58"/>
      <c r="J402" s="30"/>
      <c r="K402" s="58"/>
      <c r="L402" s="30"/>
      <c r="M402" s="58"/>
      <c r="N402" s="30"/>
      <c r="O402" s="58"/>
      <c r="P402" s="30"/>
      <c r="Q402" s="58"/>
      <c r="R402" s="30"/>
      <c r="S402" s="58"/>
      <c r="T402" s="30"/>
      <c r="U402" s="58"/>
      <c r="V402" s="30"/>
      <c r="W402" s="58"/>
      <c r="X402" s="30"/>
      <c r="Y402" s="58"/>
      <c r="Z402" s="30"/>
      <c r="AA402" s="58"/>
      <c r="AB402" s="30"/>
      <c r="AC402" s="58"/>
      <c r="AD402" s="30"/>
      <c r="AE402" s="58"/>
      <c r="AF402" s="55">
        <v>15000</v>
      </c>
      <c r="AG402" s="12">
        <f>+F402++H402++J402++L402++N402++P402++R402++T402++V402++X402++Z402++AB402++AD402+0</f>
        <v>0</v>
      </c>
      <c r="AH402" s="11">
        <f>G402+I402+K402+M402+O402+Q402+S402+U402+W402+Y402+AA402+AC402+AE402+0</f>
        <v>0</v>
      </c>
      <c r="AI402" s="6"/>
    </row>
    <row r="403" spans="1:35" x14ac:dyDescent="0.2">
      <c r="A403" s="4"/>
      <c r="B403" s="17">
        <v>395</v>
      </c>
      <c r="C403" s="41" t="s">
        <v>814</v>
      </c>
      <c r="D403" s="53"/>
      <c r="E403" s="15" t="s">
        <v>815</v>
      </c>
      <c r="F403" s="30"/>
      <c r="G403" s="31"/>
      <c r="H403" s="30"/>
      <c r="I403" s="58"/>
      <c r="J403" s="30"/>
      <c r="K403" s="58"/>
      <c r="L403" s="30"/>
      <c r="M403" s="58"/>
      <c r="N403" s="30"/>
      <c r="O403" s="58"/>
      <c r="P403" s="30"/>
      <c r="Q403" s="58"/>
      <c r="R403" s="30"/>
      <c r="S403" s="58"/>
      <c r="T403" s="30"/>
      <c r="U403" s="58"/>
      <c r="V403" s="30"/>
      <c r="W403" s="58"/>
      <c r="X403" s="30"/>
      <c r="Y403" s="58"/>
      <c r="Z403" s="30"/>
      <c r="AA403" s="58"/>
      <c r="AB403" s="30"/>
      <c r="AC403" s="58"/>
      <c r="AD403" s="30"/>
      <c r="AE403" s="58"/>
      <c r="AF403" s="55">
        <v>30000</v>
      </c>
      <c r="AG403" s="12">
        <f>+F403++H403++J403++L403++N403++P403++R403++T403++V403++X403++Z403++AB403++AD403+0</f>
        <v>0</v>
      </c>
      <c r="AH403" s="11">
        <f>G403+I403+K403+M403+O403+Q403+S403+U403+W403+Y403+AA403+AC403+AE403+0</f>
        <v>0</v>
      </c>
      <c r="AI403" s="6"/>
    </row>
    <row r="404" spans="1:35" x14ac:dyDescent="0.2">
      <c r="A404" s="4"/>
      <c r="B404" s="17">
        <v>396</v>
      </c>
      <c r="C404" s="41" t="s">
        <v>816</v>
      </c>
      <c r="D404" s="53"/>
      <c r="E404" s="15" t="s">
        <v>817</v>
      </c>
      <c r="F404" s="30"/>
      <c r="G404" s="31"/>
      <c r="H404" s="30"/>
      <c r="I404" s="58"/>
      <c r="J404" s="30"/>
      <c r="K404" s="58"/>
      <c r="L404" s="30"/>
      <c r="M404" s="58"/>
      <c r="N404" s="30"/>
      <c r="O404" s="58"/>
      <c r="P404" s="30"/>
      <c r="Q404" s="58"/>
      <c r="R404" s="30"/>
      <c r="S404" s="58"/>
      <c r="T404" s="30"/>
      <c r="U404" s="58"/>
      <c r="V404" s="30"/>
      <c r="W404" s="58"/>
      <c r="X404" s="30"/>
      <c r="Y404" s="58"/>
      <c r="Z404" s="30"/>
      <c r="AA404" s="58"/>
      <c r="AB404" s="30"/>
      <c r="AC404" s="58"/>
      <c r="AD404" s="30"/>
      <c r="AE404" s="58"/>
      <c r="AF404" s="55">
        <v>20000</v>
      </c>
      <c r="AG404" s="12">
        <f>+F404++H404++J404++L404++N404++P404++R404++T404++V404++X404++Z404++AB404++AD404+0</f>
        <v>0</v>
      </c>
      <c r="AH404" s="11">
        <f>G404+I404+K404+M404+O404+Q404+S404+U404+W404+Y404+AA404+AC404+AE404+0</f>
        <v>0</v>
      </c>
      <c r="AI404" s="6"/>
    </row>
    <row r="405" spans="1:35" x14ac:dyDescent="0.2">
      <c r="A405" s="4"/>
      <c r="B405" s="17">
        <v>397</v>
      </c>
      <c r="C405" s="41" t="s">
        <v>818</v>
      </c>
      <c r="D405" s="53"/>
      <c r="E405" s="15" t="s">
        <v>819</v>
      </c>
      <c r="F405" s="30"/>
      <c r="G405" s="31"/>
      <c r="H405" s="30"/>
      <c r="I405" s="58"/>
      <c r="J405" s="30"/>
      <c r="K405" s="58"/>
      <c r="L405" s="30"/>
      <c r="M405" s="58"/>
      <c r="N405" s="30"/>
      <c r="O405" s="58"/>
      <c r="P405" s="30"/>
      <c r="Q405" s="58"/>
      <c r="R405" s="30"/>
      <c r="S405" s="58"/>
      <c r="T405" s="30"/>
      <c r="U405" s="58"/>
      <c r="V405" s="30"/>
      <c r="W405" s="58"/>
      <c r="X405" s="30"/>
      <c r="Y405" s="58"/>
      <c r="Z405" s="30"/>
      <c r="AA405" s="58"/>
      <c r="AB405" s="30"/>
      <c r="AC405" s="58"/>
      <c r="AD405" s="30"/>
      <c r="AE405" s="58"/>
      <c r="AF405" s="55">
        <v>30000</v>
      </c>
      <c r="AG405" s="12">
        <f>+F405++H405++J405++L405++N405++P405++R405++T405++V405++X405++Z405++AB405++AD405+0</f>
        <v>0</v>
      </c>
      <c r="AH405" s="11">
        <f>G405+I405+K405+M405+O405+Q405+S405+U405+W405+Y405+AA405+AC405+AE405+0</f>
        <v>0</v>
      </c>
      <c r="AI405" s="6"/>
    </row>
    <row r="406" spans="1:35" x14ac:dyDescent="0.2">
      <c r="A406" s="4"/>
      <c r="B406" s="17">
        <v>398</v>
      </c>
      <c r="C406" s="41" t="s">
        <v>820</v>
      </c>
      <c r="D406" s="53"/>
      <c r="E406" s="15" t="s">
        <v>821</v>
      </c>
      <c r="F406" s="30"/>
      <c r="G406" s="31"/>
      <c r="H406" s="30"/>
      <c r="I406" s="58"/>
      <c r="J406" s="30"/>
      <c r="K406" s="58"/>
      <c r="L406" s="30"/>
      <c r="M406" s="58"/>
      <c r="N406" s="30"/>
      <c r="O406" s="58"/>
      <c r="P406" s="30"/>
      <c r="Q406" s="58"/>
      <c r="R406" s="30"/>
      <c r="S406" s="58"/>
      <c r="T406" s="30"/>
      <c r="U406" s="58"/>
      <c r="V406" s="30"/>
      <c r="W406" s="58"/>
      <c r="X406" s="30"/>
      <c r="Y406" s="58"/>
      <c r="Z406" s="30"/>
      <c r="AA406" s="58"/>
      <c r="AB406" s="30"/>
      <c r="AC406" s="58"/>
      <c r="AD406" s="30"/>
      <c r="AE406" s="58"/>
      <c r="AF406" s="55">
        <v>40000</v>
      </c>
      <c r="AG406" s="12">
        <f>+F406++H406++J406++L406++N406++P406++R406++T406++V406++X406++Z406++AB406++AD406+0</f>
        <v>0</v>
      </c>
      <c r="AH406" s="11">
        <f>G406+I406+K406+M406+O406+Q406+S406+U406+W406+Y406+AA406+AC406+AE406+0</f>
        <v>0</v>
      </c>
      <c r="AI406" s="6"/>
    </row>
    <row r="407" spans="1:35" x14ac:dyDescent="0.2">
      <c r="A407" s="4"/>
      <c r="B407" s="17">
        <v>399</v>
      </c>
      <c r="C407" s="41" t="s">
        <v>822</v>
      </c>
      <c r="D407" s="53"/>
      <c r="E407" s="15" t="s">
        <v>823</v>
      </c>
      <c r="F407" s="30"/>
      <c r="G407" s="31"/>
      <c r="H407" s="30"/>
      <c r="I407" s="58"/>
      <c r="J407" s="30"/>
      <c r="K407" s="58"/>
      <c r="L407" s="30"/>
      <c r="M407" s="58"/>
      <c r="N407" s="30"/>
      <c r="O407" s="58"/>
      <c r="P407" s="30"/>
      <c r="Q407" s="58"/>
      <c r="R407" s="30"/>
      <c r="S407" s="58"/>
      <c r="T407" s="30"/>
      <c r="U407" s="58"/>
      <c r="V407" s="30"/>
      <c r="W407" s="58"/>
      <c r="X407" s="30"/>
      <c r="Y407" s="58"/>
      <c r="Z407" s="30"/>
      <c r="AA407" s="58"/>
      <c r="AB407" s="30"/>
      <c r="AC407" s="58"/>
      <c r="AD407" s="30"/>
      <c r="AE407" s="58"/>
      <c r="AF407" s="55">
        <v>15000</v>
      </c>
      <c r="AG407" s="12">
        <f>+F407++H407++J407++L407++N407++P407++R407++T407++V407++X407++Z407++AB407++AD407+0</f>
        <v>0</v>
      </c>
      <c r="AH407" s="11">
        <f>G407+I407+K407+M407+O407+Q407+S407+U407+W407+Y407+AA407+AC407+AE407+0</f>
        <v>0</v>
      </c>
      <c r="AI407" s="6"/>
    </row>
    <row r="408" spans="1:35" x14ac:dyDescent="0.2">
      <c r="A408" s="4"/>
      <c r="B408" s="17">
        <v>400</v>
      </c>
      <c r="C408" s="41" t="s">
        <v>824</v>
      </c>
      <c r="D408" s="53"/>
      <c r="E408" s="15" t="s">
        <v>825</v>
      </c>
      <c r="F408" s="30"/>
      <c r="G408" s="31"/>
      <c r="H408" s="30"/>
      <c r="I408" s="58"/>
      <c r="J408" s="30"/>
      <c r="K408" s="58"/>
      <c r="L408" s="30"/>
      <c r="M408" s="58"/>
      <c r="N408" s="30"/>
      <c r="O408" s="58"/>
      <c r="P408" s="30"/>
      <c r="Q408" s="58"/>
      <c r="R408" s="30"/>
      <c r="S408" s="58"/>
      <c r="T408" s="30"/>
      <c r="U408" s="58"/>
      <c r="V408" s="30"/>
      <c r="W408" s="58"/>
      <c r="X408" s="30"/>
      <c r="Y408" s="58"/>
      <c r="Z408" s="30"/>
      <c r="AA408" s="58"/>
      <c r="AB408" s="30"/>
      <c r="AC408" s="58"/>
      <c r="AD408" s="30"/>
      <c r="AE408" s="58"/>
      <c r="AF408" s="55">
        <v>80000</v>
      </c>
      <c r="AG408" s="12">
        <f>+F408++H408++J408++L408++N408++P408++R408++T408++V408++X408++Z408++AB408++AD408+0</f>
        <v>0</v>
      </c>
      <c r="AH408" s="11">
        <f>G408+I408+K408+M408+O408+Q408+S408+U408+W408+Y408+AA408+AC408+AE408+0</f>
        <v>0</v>
      </c>
      <c r="AI408" s="6"/>
    </row>
    <row r="409" spans="1:35" x14ac:dyDescent="0.2">
      <c r="A409" s="4"/>
      <c r="B409" s="17">
        <v>401</v>
      </c>
      <c r="C409" s="41" t="s">
        <v>826</v>
      </c>
      <c r="D409" s="53"/>
      <c r="E409" s="15" t="s">
        <v>827</v>
      </c>
      <c r="F409" s="30"/>
      <c r="G409" s="31"/>
      <c r="H409" s="30"/>
      <c r="I409" s="58"/>
      <c r="J409" s="30"/>
      <c r="K409" s="58"/>
      <c r="L409" s="30"/>
      <c r="M409" s="58"/>
      <c r="N409" s="30"/>
      <c r="O409" s="58"/>
      <c r="P409" s="30"/>
      <c r="Q409" s="58"/>
      <c r="R409" s="30"/>
      <c r="S409" s="58"/>
      <c r="T409" s="30"/>
      <c r="U409" s="58"/>
      <c r="V409" s="30"/>
      <c r="W409" s="58"/>
      <c r="X409" s="30"/>
      <c r="Y409" s="58"/>
      <c r="Z409" s="30"/>
      <c r="AA409" s="58"/>
      <c r="AB409" s="30"/>
      <c r="AC409" s="58"/>
      <c r="AD409" s="30"/>
      <c r="AE409" s="58"/>
      <c r="AF409" s="55">
        <v>75000</v>
      </c>
      <c r="AG409" s="12">
        <f>+F409++H409++J409++L409++N409++P409++R409++T409++V409++X409++Z409++AB409++AD409+0</f>
        <v>0</v>
      </c>
      <c r="AH409" s="11">
        <f>G409+I409+K409+M409+O409+Q409+S409+U409+W409+Y409+AA409+AC409+AE409+0</f>
        <v>0</v>
      </c>
      <c r="AI409" s="6"/>
    </row>
    <row r="410" spans="1:35" x14ac:dyDescent="0.2">
      <c r="A410" s="4"/>
      <c r="B410" s="17">
        <v>402</v>
      </c>
      <c r="C410" s="41" t="s">
        <v>828</v>
      </c>
      <c r="D410" s="53"/>
      <c r="E410" s="15" t="s">
        <v>829</v>
      </c>
      <c r="F410" s="30"/>
      <c r="G410" s="31"/>
      <c r="H410" s="30"/>
      <c r="I410" s="58"/>
      <c r="J410" s="30"/>
      <c r="K410" s="58"/>
      <c r="L410" s="30"/>
      <c r="M410" s="58"/>
      <c r="N410" s="30"/>
      <c r="O410" s="58"/>
      <c r="P410" s="30"/>
      <c r="Q410" s="58"/>
      <c r="R410" s="30"/>
      <c r="S410" s="58"/>
      <c r="T410" s="30"/>
      <c r="U410" s="58"/>
      <c r="V410" s="30"/>
      <c r="W410" s="58"/>
      <c r="X410" s="30"/>
      <c r="Y410" s="58"/>
      <c r="Z410" s="30"/>
      <c r="AA410" s="58"/>
      <c r="AB410" s="30"/>
      <c r="AC410" s="58"/>
      <c r="AD410" s="30"/>
      <c r="AE410" s="58"/>
      <c r="AF410" s="55">
        <v>60000</v>
      </c>
      <c r="AG410" s="12">
        <f>+F410++H410++J410++L410++N410++P410++R410++T410++V410++X410++Z410++AB410++AD410+0</f>
        <v>0</v>
      </c>
      <c r="AH410" s="11">
        <f>G410+I410+K410+M410+O410+Q410+S410+U410+W410+Y410+AA410+AC410+AE410+0</f>
        <v>0</v>
      </c>
      <c r="AI410" s="6"/>
    </row>
    <row r="411" spans="1:35" x14ac:dyDescent="0.2">
      <c r="A411" s="4"/>
      <c r="B411" s="17">
        <v>403</v>
      </c>
      <c r="C411" s="41" t="s">
        <v>830</v>
      </c>
      <c r="D411" s="53"/>
      <c r="E411" s="15" t="s">
        <v>831</v>
      </c>
      <c r="F411" s="30"/>
      <c r="G411" s="31"/>
      <c r="H411" s="30"/>
      <c r="I411" s="58"/>
      <c r="J411" s="30"/>
      <c r="K411" s="58"/>
      <c r="L411" s="30"/>
      <c r="M411" s="58"/>
      <c r="N411" s="30"/>
      <c r="O411" s="58"/>
      <c r="P411" s="30"/>
      <c r="Q411" s="58"/>
      <c r="R411" s="30"/>
      <c r="S411" s="58"/>
      <c r="T411" s="30"/>
      <c r="U411" s="58"/>
      <c r="V411" s="30"/>
      <c r="W411" s="58"/>
      <c r="X411" s="30"/>
      <c r="Y411" s="58"/>
      <c r="Z411" s="30"/>
      <c r="AA411" s="58"/>
      <c r="AB411" s="30"/>
      <c r="AC411" s="58"/>
      <c r="AD411" s="30"/>
      <c r="AE411" s="58"/>
      <c r="AF411" s="55">
        <v>440000</v>
      </c>
      <c r="AG411" s="12">
        <f>+F411++H411++J411++L411++N411++P411++R411++T411++V411++X411++Z411++AB411++AD411+0</f>
        <v>0</v>
      </c>
      <c r="AH411" s="11">
        <f>G411+I411+K411+M411+O411+Q411+S411+U411+W411+Y411+AA411+AC411+AE411+0</f>
        <v>0</v>
      </c>
      <c r="AI411" s="6"/>
    </row>
    <row r="412" spans="1:35" x14ac:dyDescent="0.2">
      <c r="A412" s="4"/>
      <c r="B412" s="17">
        <v>404</v>
      </c>
      <c r="C412" s="41" t="s">
        <v>832</v>
      </c>
      <c r="D412" s="53"/>
      <c r="E412" s="15" t="s">
        <v>833</v>
      </c>
      <c r="F412" s="30"/>
      <c r="G412" s="31"/>
      <c r="H412" s="30"/>
      <c r="I412" s="58"/>
      <c r="J412" s="30"/>
      <c r="K412" s="58"/>
      <c r="L412" s="30"/>
      <c r="M412" s="58"/>
      <c r="N412" s="30"/>
      <c r="O412" s="58"/>
      <c r="P412" s="30"/>
      <c r="Q412" s="58"/>
      <c r="R412" s="30"/>
      <c r="S412" s="58"/>
      <c r="T412" s="30"/>
      <c r="U412" s="58"/>
      <c r="V412" s="30"/>
      <c r="W412" s="58"/>
      <c r="X412" s="30"/>
      <c r="Y412" s="58"/>
      <c r="Z412" s="30"/>
      <c r="AA412" s="58"/>
      <c r="AB412" s="30"/>
      <c r="AC412" s="58"/>
      <c r="AD412" s="30"/>
      <c r="AE412" s="58"/>
      <c r="AF412" s="55">
        <v>200000</v>
      </c>
      <c r="AG412" s="12">
        <f>+F412++H412++J412++L412++N412++P412++R412++T412++V412++X412++Z412++AB412++AD412+0</f>
        <v>0</v>
      </c>
      <c r="AH412" s="11">
        <f>G412+I412+K412+M412+O412+Q412+S412+U412+W412+Y412+AA412+AC412+AE412+0</f>
        <v>0</v>
      </c>
      <c r="AI412" s="6"/>
    </row>
    <row r="413" spans="1:35" x14ac:dyDescent="0.2">
      <c r="A413" s="4"/>
      <c r="B413" s="17">
        <v>405</v>
      </c>
      <c r="C413" s="41" t="s">
        <v>834</v>
      </c>
      <c r="D413" s="53"/>
      <c r="E413" s="15" t="s">
        <v>835</v>
      </c>
      <c r="F413" s="30"/>
      <c r="G413" s="31"/>
      <c r="H413" s="30"/>
      <c r="I413" s="58"/>
      <c r="J413" s="30"/>
      <c r="K413" s="58"/>
      <c r="L413" s="30"/>
      <c r="M413" s="58"/>
      <c r="N413" s="30"/>
      <c r="O413" s="58"/>
      <c r="P413" s="30"/>
      <c r="Q413" s="58"/>
      <c r="R413" s="30"/>
      <c r="S413" s="58"/>
      <c r="T413" s="30"/>
      <c r="U413" s="58"/>
      <c r="V413" s="30"/>
      <c r="W413" s="58"/>
      <c r="X413" s="30"/>
      <c r="Y413" s="58"/>
      <c r="Z413" s="30"/>
      <c r="AA413" s="58"/>
      <c r="AB413" s="30"/>
      <c r="AC413" s="58"/>
      <c r="AD413" s="30"/>
      <c r="AE413" s="58"/>
      <c r="AF413" s="55">
        <v>200000</v>
      </c>
      <c r="AG413" s="12">
        <f>+F413++H413++J413++L413++N413++P413++R413++T413++V413++X413++Z413++AB413++AD413+0</f>
        <v>0</v>
      </c>
      <c r="AH413" s="11">
        <f>G413+I413+K413+M413+O413+Q413+S413+U413+W413+Y413+AA413+AC413+AE413+0</f>
        <v>0</v>
      </c>
      <c r="AI413" s="6"/>
    </row>
    <row r="414" spans="1:35" x14ac:dyDescent="0.2">
      <c r="A414" s="4"/>
      <c r="B414" s="17">
        <v>406</v>
      </c>
      <c r="C414" s="41" t="s">
        <v>836</v>
      </c>
      <c r="D414" s="53"/>
      <c r="E414" s="15" t="s">
        <v>837</v>
      </c>
      <c r="F414" s="30"/>
      <c r="G414" s="31"/>
      <c r="H414" s="30"/>
      <c r="I414" s="58"/>
      <c r="J414" s="30"/>
      <c r="K414" s="58"/>
      <c r="L414" s="30"/>
      <c r="M414" s="58"/>
      <c r="N414" s="30"/>
      <c r="O414" s="58"/>
      <c r="P414" s="30"/>
      <c r="Q414" s="58"/>
      <c r="R414" s="30"/>
      <c r="S414" s="58"/>
      <c r="T414" s="30"/>
      <c r="U414" s="58"/>
      <c r="V414" s="30"/>
      <c r="W414" s="58"/>
      <c r="X414" s="30"/>
      <c r="Y414" s="58"/>
      <c r="Z414" s="30"/>
      <c r="AA414" s="58"/>
      <c r="AB414" s="30"/>
      <c r="AC414" s="58"/>
      <c r="AD414" s="30"/>
      <c r="AE414" s="58"/>
      <c r="AF414" s="55">
        <v>32000</v>
      </c>
      <c r="AG414" s="12">
        <f>+F414++H414++J414++L414++N414++P414++R414++T414++V414++X414++Z414++AB414++AD414+0</f>
        <v>0</v>
      </c>
      <c r="AH414" s="11">
        <f>G414+I414+K414+M414+O414+Q414+S414+U414+W414+Y414+AA414+AC414+AE414+0</f>
        <v>0</v>
      </c>
      <c r="AI414" s="6"/>
    </row>
    <row r="415" spans="1:35" x14ac:dyDescent="0.2">
      <c r="A415" s="4"/>
      <c r="B415" s="17">
        <v>407</v>
      </c>
      <c r="C415" s="41" t="s">
        <v>838</v>
      </c>
      <c r="D415" s="53"/>
      <c r="E415" s="15" t="s">
        <v>839</v>
      </c>
      <c r="F415" s="30"/>
      <c r="G415" s="31"/>
      <c r="H415" s="30"/>
      <c r="I415" s="58"/>
      <c r="J415" s="30"/>
      <c r="K415" s="58"/>
      <c r="L415" s="30"/>
      <c r="M415" s="58"/>
      <c r="N415" s="30"/>
      <c r="O415" s="58"/>
      <c r="P415" s="30"/>
      <c r="Q415" s="58"/>
      <c r="R415" s="30"/>
      <c r="S415" s="58"/>
      <c r="T415" s="30"/>
      <c r="U415" s="58"/>
      <c r="V415" s="30"/>
      <c r="W415" s="58"/>
      <c r="X415" s="30"/>
      <c r="Y415" s="58"/>
      <c r="Z415" s="30"/>
      <c r="AA415" s="58"/>
      <c r="AB415" s="30"/>
      <c r="AC415" s="58"/>
      <c r="AD415" s="30"/>
      <c r="AE415" s="58"/>
      <c r="AF415" s="55">
        <v>40000</v>
      </c>
      <c r="AG415" s="12">
        <f>+F415++H415++J415++L415++N415++P415++R415++T415++V415++X415++Z415++AB415++AD415+0</f>
        <v>0</v>
      </c>
      <c r="AH415" s="11">
        <f>G415+I415+K415+M415+O415+Q415+S415+U415+W415+Y415+AA415+AC415+AE415+0</f>
        <v>0</v>
      </c>
      <c r="AI415" s="6"/>
    </row>
    <row r="416" spans="1:35" x14ac:dyDescent="0.2">
      <c r="A416" s="4"/>
      <c r="B416" s="17">
        <v>408</v>
      </c>
      <c r="C416" s="41" t="s">
        <v>840</v>
      </c>
      <c r="D416" s="53"/>
      <c r="E416" s="15" t="s">
        <v>841</v>
      </c>
      <c r="F416" s="30"/>
      <c r="G416" s="31"/>
      <c r="H416" s="30"/>
      <c r="I416" s="58"/>
      <c r="J416" s="30"/>
      <c r="K416" s="58"/>
      <c r="L416" s="30"/>
      <c r="M416" s="58"/>
      <c r="N416" s="30"/>
      <c r="O416" s="58"/>
      <c r="P416" s="30"/>
      <c r="Q416" s="58"/>
      <c r="R416" s="30"/>
      <c r="S416" s="58"/>
      <c r="T416" s="30"/>
      <c r="U416" s="58"/>
      <c r="V416" s="30"/>
      <c r="W416" s="58"/>
      <c r="X416" s="30"/>
      <c r="Y416" s="58"/>
      <c r="Z416" s="30"/>
      <c r="AA416" s="58"/>
      <c r="AB416" s="30"/>
      <c r="AC416" s="58"/>
      <c r="AD416" s="30"/>
      <c r="AE416" s="58"/>
      <c r="AF416" s="55">
        <v>15000</v>
      </c>
      <c r="AG416" s="12">
        <f>+F416++H416++J416++L416++N416++P416++R416++T416++V416++X416++Z416++AB416++AD416+0</f>
        <v>0</v>
      </c>
      <c r="AH416" s="11">
        <f>G416+I416+K416+M416+O416+Q416+S416+U416+W416+Y416+AA416+AC416+AE416+0</f>
        <v>0</v>
      </c>
      <c r="AI416" s="6"/>
    </row>
    <row r="417" spans="1:35" x14ac:dyDescent="0.2">
      <c r="A417" s="4"/>
      <c r="B417" s="17">
        <v>409</v>
      </c>
      <c r="C417" s="41" t="s">
        <v>842</v>
      </c>
      <c r="D417" s="53"/>
      <c r="E417" s="15" t="s">
        <v>843</v>
      </c>
      <c r="F417" s="30"/>
      <c r="G417" s="31"/>
      <c r="H417" s="30"/>
      <c r="I417" s="58"/>
      <c r="J417" s="30"/>
      <c r="K417" s="58"/>
      <c r="L417" s="30"/>
      <c r="M417" s="58"/>
      <c r="N417" s="30"/>
      <c r="O417" s="58"/>
      <c r="P417" s="30"/>
      <c r="Q417" s="58"/>
      <c r="R417" s="30"/>
      <c r="S417" s="58"/>
      <c r="T417" s="30"/>
      <c r="U417" s="58"/>
      <c r="V417" s="30"/>
      <c r="W417" s="58"/>
      <c r="X417" s="30"/>
      <c r="Y417" s="58"/>
      <c r="Z417" s="30"/>
      <c r="AA417" s="58"/>
      <c r="AB417" s="30"/>
      <c r="AC417" s="58"/>
      <c r="AD417" s="30"/>
      <c r="AE417" s="58"/>
      <c r="AF417" s="55">
        <v>350000</v>
      </c>
      <c r="AG417" s="12">
        <f>+F417++H417++J417++L417++N417++P417++R417++T417++V417++X417++Z417++AB417++AD417+0</f>
        <v>0</v>
      </c>
      <c r="AH417" s="11">
        <f>G417+I417+K417+M417+O417+Q417+S417+U417+W417+Y417+AA417+AC417+AE417+0</f>
        <v>0</v>
      </c>
      <c r="AI417" s="6"/>
    </row>
    <row r="418" spans="1:35" x14ac:dyDescent="0.2">
      <c r="A418" s="4"/>
      <c r="B418" s="17">
        <v>410</v>
      </c>
      <c r="C418" s="41" t="s">
        <v>844</v>
      </c>
      <c r="D418" s="53"/>
      <c r="E418" s="15" t="s">
        <v>845</v>
      </c>
      <c r="F418" s="30"/>
      <c r="G418" s="31"/>
      <c r="H418" s="30"/>
      <c r="I418" s="58"/>
      <c r="J418" s="30"/>
      <c r="K418" s="58"/>
      <c r="L418" s="30"/>
      <c r="M418" s="58"/>
      <c r="N418" s="30"/>
      <c r="O418" s="58"/>
      <c r="P418" s="30"/>
      <c r="Q418" s="58"/>
      <c r="R418" s="30"/>
      <c r="S418" s="58"/>
      <c r="T418" s="30"/>
      <c r="U418" s="58"/>
      <c r="V418" s="30"/>
      <c r="W418" s="58"/>
      <c r="X418" s="30"/>
      <c r="Y418" s="58"/>
      <c r="Z418" s="30"/>
      <c r="AA418" s="58"/>
      <c r="AB418" s="30"/>
      <c r="AC418" s="58"/>
      <c r="AD418" s="30"/>
      <c r="AE418" s="58"/>
      <c r="AF418" s="55">
        <v>500000</v>
      </c>
      <c r="AG418" s="12">
        <f>+F418++H418++J418++L418++N418++P418++R418++T418++V418++X418++Z418++AB418++AD418+0</f>
        <v>0</v>
      </c>
      <c r="AH418" s="11">
        <f>G418+I418+K418+M418+O418+Q418+S418+U418+W418+Y418+AA418+AC418+AE418+0</f>
        <v>0</v>
      </c>
      <c r="AI418" s="6"/>
    </row>
    <row r="419" spans="1:35" x14ac:dyDescent="0.2">
      <c r="A419" s="4"/>
      <c r="B419" s="17">
        <v>411</v>
      </c>
      <c r="C419" s="41" t="s">
        <v>846</v>
      </c>
      <c r="D419" s="53"/>
      <c r="E419" s="15" t="s">
        <v>847</v>
      </c>
      <c r="F419" s="30"/>
      <c r="G419" s="31"/>
      <c r="H419" s="30"/>
      <c r="I419" s="58"/>
      <c r="J419" s="30"/>
      <c r="K419" s="58"/>
      <c r="L419" s="30"/>
      <c r="M419" s="58"/>
      <c r="N419" s="30"/>
      <c r="O419" s="58"/>
      <c r="P419" s="30"/>
      <c r="Q419" s="58"/>
      <c r="R419" s="30"/>
      <c r="S419" s="58"/>
      <c r="T419" s="30"/>
      <c r="U419" s="58"/>
      <c r="V419" s="30"/>
      <c r="W419" s="58"/>
      <c r="X419" s="30"/>
      <c r="Y419" s="58"/>
      <c r="Z419" s="30"/>
      <c r="AA419" s="58"/>
      <c r="AB419" s="30"/>
      <c r="AC419" s="58"/>
      <c r="AD419" s="30"/>
      <c r="AE419" s="58"/>
      <c r="AF419" s="55">
        <v>100000</v>
      </c>
      <c r="AG419" s="12">
        <f>+F419++H419++J419++L419++N419++P419++R419++T419++V419++X419++Z419++AB419++AD419+0</f>
        <v>0</v>
      </c>
      <c r="AH419" s="11">
        <f>G419+I419+K419+M419+O419+Q419+S419+U419+W419+Y419+AA419+AC419+AE419+0</f>
        <v>0</v>
      </c>
      <c r="AI419" s="6"/>
    </row>
    <row r="420" spans="1:35" x14ac:dyDescent="0.2">
      <c r="A420" s="4"/>
      <c r="B420" s="17">
        <v>412</v>
      </c>
      <c r="C420" s="41" t="s">
        <v>848</v>
      </c>
      <c r="D420" s="53"/>
      <c r="E420" s="15" t="s">
        <v>849</v>
      </c>
      <c r="F420" s="30"/>
      <c r="G420" s="31"/>
      <c r="H420" s="30"/>
      <c r="I420" s="58"/>
      <c r="J420" s="30"/>
      <c r="K420" s="58"/>
      <c r="L420" s="30"/>
      <c r="M420" s="58"/>
      <c r="N420" s="30"/>
      <c r="O420" s="58"/>
      <c r="P420" s="30"/>
      <c r="Q420" s="58"/>
      <c r="R420" s="30"/>
      <c r="S420" s="58"/>
      <c r="T420" s="30"/>
      <c r="U420" s="58"/>
      <c r="V420" s="30"/>
      <c r="W420" s="58"/>
      <c r="X420" s="30"/>
      <c r="Y420" s="58"/>
      <c r="Z420" s="30"/>
      <c r="AA420" s="58"/>
      <c r="AB420" s="30"/>
      <c r="AC420" s="58"/>
      <c r="AD420" s="30"/>
      <c r="AE420" s="58"/>
      <c r="AF420" s="55">
        <v>50000</v>
      </c>
      <c r="AG420" s="12">
        <f>+F420++H420++J420++L420++N420++P420++R420++T420++V420++X420++Z420++AB420++AD420+0</f>
        <v>0</v>
      </c>
      <c r="AH420" s="11">
        <f>G420+I420+K420+M420+O420+Q420+S420+U420+W420+Y420+AA420+AC420+AE420+0</f>
        <v>0</v>
      </c>
      <c r="AI420" s="6"/>
    </row>
    <row r="421" spans="1:35" x14ac:dyDescent="0.2">
      <c r="A421" s="4"/>
      <c r="B421" s="17">
        <v>413</v>
      </c>
      <c r="C421" s="41" t="s">
        <v>850</v>
      </c>
      <c r="D421" s="53"/>
      <c r="E421" s="15" t="s">
        <v>851</v>
      </c>
      <c r="F421" s="30"/>
      <c r="G421" s="31"/>
      <c r="H421" s="30"/>
      <c r="I421" s="58"/>
      <c r="J421" s="30"/>
      <c r="K421" s="58"/>
      <c r="L421" s="30"/>
      <c r="M421" s="58"/>
      <c r="N421" s="30"/>
      <c r="O421" s="58"/>
      <c r="P421" s="30"/>
      <c r="Q421" s="58"/>
      <c r="R421" s="30"/>
      <c r="S421" s="58"/>
      <c r="T421" s="30"/>
      <c r="U421" s="58"/>
      <c r="V421" s="30"/>
      <c r="W421" s="58"/>
      <c r="X421" s="30"/>
      <c r="Y421" s="58"/>
      <c r="Z421" s="30"/>
      <c r="AA421" s="58"/>
      <c r="AB421" s="30"/>
      <c r="AC421" s="58"/>
      <c r="AD421" s="30"/>
      <c r="AE421" s="58"/>
      <c r="AF421" s="55">
        <v>50000</v>
      </c>
      <c r="AG421" s="12">
        <f>+F421++H421++J421++L421++N421++P421++R421++T421++V421++X421++Z421++AB421++AD421+0</f>
        <v>0</v>
      </c>
      <c r="AH421" s="11">
        <f>G421+I421+K421+M421+O421+Q421+S421+U421+W421+Y421+AA421+AC421+AE421+0</f>
        <v>0</v>
      </c>
      <c r="AI421" s="6"/>
    </row>
    <row r="422" spans="1:35" x14ac:dyDescent="0.2">
      <c r="A422" s="4"/>
      <c r="B422" s="17">
        <v>414</v>
      </c>
      <c r="C422" s="41" t="s">
        <v>852</v>
      </c>
      <c r="D422" s="53"/>
      <c r="E422" s="15" t="s">
        <v>853</v>
      </c>
      <c r="F422" s="30"/>
      <c r="G422" s="31"/>
      <c r="H422" s="30"/>
      <c r="I422" s="58"/>
      <c r="J422" s="30"/>
      <c r="K422" s="58"/>
      <c r="L422" s="30"/>
      <c r="M422" s="58"/>
      <c r="N422" s="30"/>
      <c r="O422" s="58"/>
      <c r="P422" s="30"/>
      <c r="Q422" s="58"/>
      <c r="R422" s="30"/>
      <c r="S422" s="58"/>
      <c r="T422" s="30"/>
      <c r="U422" s="58"/>
      <c r="V422" s="30"/>
      <c r="W422" s="58"/>
      <c r="X422" s="30"/>
      <c r="Y422" s="58"/>
      <c r="Z422" s="30"/>
      <c r="AA422" s="58"/>
      <c r="AB422" s="30"/>
      <c r="AC422" s="58"/>
      <c r="AD422" s="30"/>
      <c r="AE422" s="58"/>
      <c r="AF422" s="55">
        <v>50000</v>
      </c>
      <c r="AG422" s="12">
        <f>+F422++H422++J422++L422++N422++P422++R422++T422++V422++X422++Z422++AB422++AD422+0</f>
        <v>0</v>
      </c>
      <c r="AH422" s="11">
        <f>G422+I422+K422+M422+O422+Q422+S422+U422+W422+Y422+AA422+AC422+AE422+0</f>
        <v>0</v>
      </c>
      <c r="AI422" s="6"/>
    </row>
    <row r="423" spans="1:35" x14ac:dyDescent="0.2">
      <c r="A423" s="4"/>
      <c r="B423" s="17">
        <v>415</v>
      </c>
      <c r="C423" s="41" t="s">
        <v>854</v>
      </c>
      <c r="D423" s="53"/>
      <c r="E423" s="15" t="s">
        <v>855</v>
      </c>
      <c r="F423" s="30"/>
      <c r="G423" s="31"/>
      <c r="H423" s="30"/>
      <c r="I423" s="58"/>
      <c r="J423" s="30"/>
      <c r="K423" s="58"/>
      <c r="L423" s="30"/>
      <c r="M423" s="58"/>
      <c r="N423" s="30"/>
      <c r="O423" s="58"/>
      <c r="P423" s="30"/>
      <c r="Q423" s="58"/>
      <c r="R423" s="30"/>
      <c r="S423" s="58"/>
      <c r="T423" s="30"/>
      <c r="U423" s="58"/>
      <c r="V423" s="30"/>
      <c r="W423" s="58"/>
      <c r="X423" s="30"/>
      <c r="Y423" s="58"/>
      <c r="Z423" s="30"/>
      <c r="AA423" s="58"/>
      <c r="AB423" s="30"/>
      <c r="AC423" s="58"/>
      <c r="AD423" s="30"/>
      <c r="AE423" s="58"/>
      <c r="AF423" s="55">
        <v>80000</v>
      </c>
      <c r="AG423" s="12">
        <f>+F423++H423++J423++L423++N423++P423++R423++T423++V423++X423++Z423++AB423++AD423+0</f>
        <v>0</v>
      </c>
      <c r="AH423" s="11">
        <f>G423+I423+K423+M423+O423+Q423+S423+U423+W423+Y423+AA423+AC423+AE423+0</f>
        <v>0</v>
      </c>
      <c r="AI423" s="6"/>
    </row>
    <row r="424" spans="1:35" x14ac:dyDescent="0.2">
      <c r="A424" s="4"/>
      <c r="B424" s="17">
        <v>416</v>
      </c>
      <c r="C424" s="41" t="s">
        <v>856</v>
      </c>
      <c r="D424" s="53"/>
      <c r="E424" s="15" t="s">
        <v>857</v>
      </c>
      <c r="F424" s="30"/>
      <c r="G424" s="31"/>
      <c r="H424" s="30"/>
      <c r="I424" s="58"/>
      <c r="J424" s="30"/>
      <c r="K424" s="58"/>
      <c r="L424" s="30"/>
      <c r="M424" s="58"/>
      <c r="N424" s="30"/>
      <c r="O424" s="58"/>
      <c r="P424" s="30"/>
      <c r="Q424" s="58"/>
      <c r="R424" s="30"/>
      <c r="S424" s="58"/>
      <c r="T424" s="30"/>
      <c r="U424" s="58"/>
      <c r="V424" s="30"/>
      <c r="W424" s="58"/>
      <c r="X424" s="30"/>
      <c r="Y424" s="58"/>
      <c r="Z424" s="30"/>
      <c r="AA424" s="58"/>
      <c r="AB424" s="30"/>
      <c r="AC424" s="58"/>
      <c r="AD424" s="30"/>
      <c r="AE424" s="58"/>
      <c r="AF424" s="55">
        <v>160000</v>
      </c>
      <c r="AG424" s="12">
        <f>+F424++H424++J424++L424++N424++P424++R424++T424++V424++X424++Z424++AB424++AD424+0</f>
        <v>0</v>
      </c>
      <c r="AH424" s="11">
        <f>G424+I424+K424+M424+O424+Q424+S424+U424+W424+Y424+AA424+AC424+AE424+0</f>
        <v>0</v>
      </c>
      <c r="AI424" s="6"/>
    </row>
    <row r="425" spans="1:35" x14ac:dyDescent="0.2">
      <c r="A425" s="4"/>
      <c r="B425" s="17">
        <v>417</v>
      </c>
      <c r="C425" s="41" t="s">
        <v>858</v>
      </c>
      <c r="D425" s="53"/>
      <c r="E425" s="15" t="s">
        <v>859</v>
      </c>
      <c r="F425" s="30"/>
      <c r="G425" s="31"/>
      <c r="H425" s="30"/>
      <c r="I425" s="58"/>
      <c r="J425" s="30"/>
      <c r="K425" s="58"/>
      <c r="L425" s="30"/>
      <c r="M425" s="58"/>
      <c r="N425" s="30"/>
      <c r="O425" s="58"/>
      <c r="P425" s="30"/>
      <c r="Q425" s="58"/>
      <c r="R425" s="30"/>
      <c r="S425" s="58"/>
      <c r="T425" s="30"/>
      <c r="U425" s="58"/>
      <c r="V425" s="30"/>
      <c r="W425" s="58"/>
      <c r="X425" s="30"/>
      <c r="Y425" s="58"/>
      <c r="Z425" s="30"/>
      <c r="AA425" s="58"/>
      <c r="AB425" s="30"/>
      <c r="AC425" s="58"/>
      <c r="AD425" s="30"/>
      <c r="AE425" s="58"/>
      <c r="AF425" s="55">
        <v>20000</v>
      </c>
      <c r="AG425" s="12">
        <f>+F425++H425++J425++L425++N425++P425++R425++T425++V425++X425++Z425++AB425++AD425+0</f>
        <v>0</v>
      </c>
      <c r="AH425" s="11">
        <f>G425+I425+K425+M425+O425+Q425+S425+U425+W425+Y425+AA425+AC425+AE425+0</f>
        <v>0</v>
      </c>
      <c r="AI425" s="6"/>
    </row>
    <row r="426" spans="1:35" x14ac:dyDescent="0.2">
      <c r="A426" s="4"/>
      <c r="B426" s="17">
        <v>418</v>
      </c>
      <c r="C426" s="41" t="s">
        <v>860</v>
      </c>
      <c r="D426" s="53"/>
      <c r="E426" s="15" t="s">
        <v>861</v>
      </c>
      <c r="F426" s="30"/>
      <c r="G426" s="31"/>
      <c r="H426" s="30"/>
      <c r="I426" s="58"/>
      <c r="J426" s="30"/>
      <c r="K426" s="58"/>
      <c r="L426" s="30"/>
      <c r="M426" s="58"/>
      <c r="N426" s="30"/>
      <c r="O426" s="58"/>
      <c r="P426" s="30"/>
      <c r="Q426" s="58"/>
      <c r="R426" s="30"/>
      <c r="S426" s="58"/>
      <c r="T426" s="30"/>
      <c r="U426" s="58"/>
      <c r="V426" s="30"/>
      <c r="W426" s="58"/>
      <c r="X426" s="30"/>
      <c r="Y426" s="58"/>
      <c r="Z426" s="30"/>
      <c r="AA426" s="58"/>
      <c r="AB426" s="30"/>
      <c r="AC426" s="58"/>
      <c r="AD426" s="30"/>
      <c r="AE426" s="58"/>
      <c r="AF426" s="55">
        <v>400000</v>
      </c>
      <c r="AG426" s="12">
        <f>+F426++H426++J426++L426++N426++P426++R426++T426++V426++X426++Z426++AB426++AD426+0</f>
        <v>0</v>
      </c>
      <c r="AH426" s="11">
        <f>G426+I426+K426+M426+O426+Q426+S426+U426+W426+Y426+AA426+AC426+AE426+0</f>
        <v>0</v>
      </c>
      <c r="AI426" s="6"/>
    </row>
    <row r="427" spans="1:35" x14ac:dyDescent="0.2">
      <c r="A427" s="4"/>
      <c r="B427" s="17">
        <v>419</v>
      </c>
      <c r="C427" s="41" t="s">
        <v>862</v>
      </c>
      <c r="D427" s="53"/>
      <c r="E427" s="15" t="s">
        <v>863</v>
      </c>
      <c r="F427" s="30"/>
      <c r="G427" s="31"/>
      <c r="H427" s="30"/>
      <c r="I427" s="58"/>
      <c r="J427" s="30"/>
      <c r="K427" s="58"/>
      <c r="L427" s="30"/>
      <c r="M427" s="58"/>
      <c r="N427" s="30"/>
      <c r="O427" s="58"/>
      <c r="P427" s="30"/>
      <c r="Q427" s="58"/>
      <c r="R427" s="30"/>
      <c r="S427" s="58"/>
      <c r="T427" s="30"/>
      <c r="U427" s="58"/>
      <c r="V427" s="30"/>
      <c r="W427" s="58"/>
      <c r="X427" s="30"/>
      <c r="Y427" s="58"/>
      <c r="Z427" s="30"/>
      <c r="AA427" s="58"/>
      <c r="AB427" s="30"/>
      <c r="AC427" s="58"/>
      <c r="AD427" s="30"/>
      <c r="AE427" s="58"/>
      <c r="AF427" s="55">
        <v>120000</v>
      </c>
      <c r="AG427" s="12">
        <f>+F427++H427++J427++L427++N427++P427++R427++T427++V427++X427++Z427++AB427++AD427+0</f>
        <v>0</v>
      </c>
      <c r="AH427" s="11">
        <f>G427+I427+K427+M427+O427+Q427+S427+U427+W427+Y427+AA427+AC427+AE427+0</f>
        <v>0</v>
      </c>
      <c r="AI427" s="6"/>
    </row>
    <row r="428" spans="1:35" x14ac:dyDescent="0.2">
      <c r="A428" s="4"/>
      <c r="B428" s="17">
        <v>420</v>
      </c>
      <c r="C428" s="41" t="s">
        <v>864</v>
      </c>
      <c r="D428" s="53"/>
      <c r="E428" s="15" t="s">
        <v>865</v>
      </c>
      <c r="F428" s="30"/>
      <c r="G428" s="31"/>
      <c r="H428" s="30"/>
      <c r="I428" s="58"/>
      <c r="J428" s="30"/>
      <c r="K428" s="58"/>
      <c r="L428" s="30"/>
      <c r="M428" s="58"/>
      <c r="N428" s="30"/>
      <c r="O428" s="58"/>
      <c r="P428" s="30"/>
      <c r="Q428" s="58"/>
      <c r="R428" s="30"/>
      <c r="S428" s="58"/>
      <c r="T428" s="30"/>
      <c r="U428" s="58"/>
      <c r="V428" s="30"/>
      <c r="W428" s="58"/>
      <c r="X428" s="30"/>
      <c r="Y428" s="58"/>
      <c r="Z428" s="30"/>
      <c r="AA428" s="58"/>
      <c r="AB428" s="30"/>
      <c r="AC428" s="58"/>
      <c r="AD428" s="30"/>
      <c r="AE428" s="58"/>
      <c r="AF428" s="55">
        <v>15000</v>
      </c>
      <c r="AG428" s="12">
        <f>+F428++H428++J428++L428++N428++P428++R428++T428++V428++X428++Z428++AB428++AD428+0</f>
        <v>0</v>
      </c>
      <c r="AH428" s="11">
        <f>G428+I428+K428+M428+O428+Q428+S428+U428+W428+Y428+AA428+AC428+AE428+0</f>
        <v>0</v>
      </c>
      <c r="AI428" s="6"/>
    </row>
    <row r="429" spans="1:35" x14ac:dyDescent="0.2">
      <c r="A429" s="4"/>
      <c r="B429" s="17">
        <v>421</v>
      </c>
      <c r="C429" s="41" t="s">
        <v>866</v>
      </c>
      <c r="D429" s="53"/>
      <c r="E429" s="15" t="s">
        <v>867</v>
      </c>
      <c r="F429" s="30"/>
      <c r="G429" s="31"/>
      <c r="H429" s="30"/>
      <c r="I429" s="58"/>
      <c r="J429" s="30"/>
      <c r="K429" s="58"/>
      <c r="L429" s="30"/>
      <c r="M429" s="58"/>
      <c r="N429" s="30"/>
      <c r="O429" s="58"/>
      <c r="P429" s="30"/>
      <c r="Q429" s="58"/>
      <c r="R429" s="30"/>
      <c r="S429" s="58"/>
      <c r="T429" s="30"/>
      <c r="U429" s="58"/>
      <c r="V429" s="30"/>
      <c r="W429" s="58"/>
      <c r="X429" s="30"/>
      <c r="Y429" s="58"/>
      <c r="Z429" s="30"/>
      <c r="AA429" s="58"/>
      <c r="AB429" s="30"/>
      <c r="AC429" s="58"/>
      <c r="AD429" s="30"/>
      <c r="AE429" s="58"/>
      <c r="AF429" s="55">
        <v>50000</v>
      </c>
      <c r="AG429" s="12">
        <f>+F429++H429++J429++L429++N429++P429++R429++T429++V429++X429++Z429++AB429++AD429+0</f>
        <v>0</v>
      </c>
      <c r="AH429" s="11">
        <f>G429+I429+K429+M429+O429+Q429+S429+U429+W429+Y429+AA429+AC429+AE429+0</f>
        <v>0</v>
      </c>
      <c r="AI429" s="6"/>
    </row>
    <row r="430" spans="1:35" x14ac:dyDescent="0.2">
      <c r="A430" s="4"/>
      <c r="B430" s="17">
        <v>422</v>
      </c>
      <c r="C430" s="41" t="s">
        <v>868</v>
      </c>
      <c r="D430" s="53"/>
      <c r="E430" s="15" t="s">
        <v>869</v>
      </c>
      <c r="F430" s="30"/>
      <c r="G430" s="31"/>
      <c r="H430" s="30"/>
      <c r="I430" s="58"/>
      <c r="J430" s="30"/>
      <c r="K430" s="58"/>
      <c r="L430" s="30"/>
      <c r="M430" s="58"/>
      <c r="N430" s="30"/>
      <c r="O430" s="58"/>
      <c r="P430" s="30"/>
      <c r="Q430" s="58"/>
      <c r="R430" s="30"/>
      <c r="S430" s="58"/>
      <c r="T430" s="30"/>
      <c r="U430" s="58"/>
      <c r="V430" s="30"/>
      <c r="W430" s="58"/>
      <c r="X430" s="30"/>
      <c r="Y430" s="58"/>
      <c r="Z430" s="30"/>
      <c r="AA430" s="58"/>
      <c r="AB430" s="30"/>
      <c r="AC430" s="58"/>
      <c r="AD430" s="30"/>
      <c r="AE430" s="58"/>
      <c r="AF430" s="55">
        <v>200000</v>
      </c>
      <c r="AG430" s="12">
        <f>+F430++H430++J430++L430++N430++P430++R430++T430++V430++X430++Z430++AB430++AD430+0</f>
        <v>0</v>
      </c>
      <c r="AH430" s="11">
        <f>G430+I430+K430+M430+O430+Q430+S430+U430+W430+Y430+AA430+AC430+AE430+0</f>
        <v>0</v>
      </c>
      <c r="AI430" s="6"/>
    </row>
    <row r="431" spans="1:35" x14ac:dyDescent="0.2">
      <c r="A431" s="4"/>
      <c r="B431" s="17">
        <v>423</v>
      </c>
      <c r="C431" s="41" t="s">
        <v>870</v>
      </c>
      <c r="D431" s="53"/>
      <c r="E431" s="15" t="s">
        <v>871</v>
      </c>
      <c r="F431" s="30"/>
      <c r="G431" s="31"/>
      <c r="H431" s="30"/>
      <c r="I431" s="58"/>
      <c r="J431" s="30"/>
      <c r="K431" s="58"/>
      <c r="L431" s="30"/>
      <c r="M431" s="58"/>
      <c r="N431" s="30"/>
      <c r="O431" s="58"/>
      <c r="P431" s="30"/>
      <c r="Q431" s="58"/>
      <c r="R431" s="30"/>
      <c r="S431" s="58"/>
      <c r="T431" s="30"/>
      <c r="U431" s="58"/>
      <c r="V431" s="30"/>
      <c r="W431" s="58"/>
      <c r="X431" s="30"/>
      <c r="Y431" s="58"/>
      <c r="Z431" s="30"/>
      <c r="AA431" s="58"/>
      <c r="AB431" s="30"/>
      <c r="AC431" s="58"/>
      <c r="AD431" s="30"/>
      <c r="AE431" s="58"/>
      <c r="AF431" s="55">
        <v>20000</v>
      </c>
      <c r="AG431" s="12">
        <f>+F431++H431++J431++L431++N431++P431++R431++T431++V431++X431++Z431++AB431++AD431+0</f>
        <v>0</v>
      </c>
      <c r="AH431" s="11">
        <f>G431+I431+K431+M431+O431+Q431+S431+U431+W431+Y431+AA431+AC431+AE431+0</f>
        <v>0</v>
      </c>
      <c r="AI431" s="6"/>
    </row>
    <row r="432" spans="1:35" x14ac:dyDescent="0.2">
      <c r="A432" s="4"/>
      <c r="B432" s="17">
        <v>424</v>
      </c>
      <c r="C432" s="41" t="s">
        <v>872</v>
      </c>
      <c r="D432" s="53"/>
      <c r="E432" s="15" t="s">
        <v>873</v>
      </c>
      <c r="F432" s="30"/>
      <c r="G432" s="31"/>
      <c r="H432" s="30"/>
      <c r="I432" s="58"/>
      <c r="J432" s="30"/>
      <c r="K432" s="58"/>
      <c r="L432" s="30"/>
      <c r="M432" s="58"/>
      <c r="N432" s="30"/>
      <c r="O432" s="58"/>
      <c r="P432" s="30"/>
      <c r="Q432" s="58"/>
      <c r="R432" s="30"/>
      <c r="S432" s="58"/>
      <c r="T432" s="30"/>
      <c r="U432" s="58"/>
      <c r="V432" s="30"/>
      <c r="W432" s="58"/>
      <c r="X432" s="30"/>
      <c r="Y432" s="58"/>
      <c r="Z432" s="30"/>
      <c r="AA432" s="58"/>
      <c r="AB432" s="30"/>
      <c r="AC432" s="58"/>
      <c r="AD432" s="30"/>
      <c r="AE432" s="58"/>
      <c r="AF432" s="55">
        <v>20000</v>
      </c>
      <c r="AG432" s="12">
        <f>+F432++H432++J432++L432++N432++P432++R432++T432++V432++X432++Z432++AB432++AD432+0</f>
        <v>0</v>
      </c>
      <c r="AH432" s="11">
        <f>G432+I432+K432+M432+O432+Q432+S432+U432+W432+Y432+AA432+AC432+AE432+0</f>
        <v>0</v>
      </c>
      <c r="AI432" s="6"/>
    </row>
    <row r="433" spans="1:35" x14ac:dyDescent="0.2">
      <c r="A433" s="4"/>
      <c r="B433" s="17">
        <v>425</v>
      </c>
      <c r="C433" s="41" t="s">
        <v>874</v>
      </c>
      <c r="D433" s="53"/>
      <c r="E433" s="15" t="s">
        <v>875</v>
      </c>
      <c r="F433" s="30"/>
      <c r="G433" s="31"/>
      <c r="H433" s="30"/>
      <c r="I433" s="58"/>
      <c r="J433" s="30"/>
      <c r="K433" s="58"/>
      <c r="L433" s="30"/>
      <c r="M433" s="58"/>
      <c r="N433" s="30"/>
      <c r="O433" s="58"/>
      <c r="P433" s="30"/>
      <c r="Q433" s="58"/>
      <c r="R433" s="30"/>
      <c r="S433" s="58"/>
      <c r="T433" s="30"/>
      <c r="U433" s="58"/>
      <c r="V433" s="30"/>
      <c r="W433" s="58"/>
      <c r="X433" s="30"/>
      <c r="Y433" s="58"/>
      <c r="Z433" s="30"/>
      <c r="AA433" s="58"/>
      <c r="AB433" s="30"/>
      <c r="AC433" s="58"/>
      <c r="AD433" s="30"/>
      <c r="AE433" s="58"/>
      <c r="AF433" s="55">
        <v>25000</v>
      </c>
      <c r="AG433" s="12">
        <f>+F433++H433++J433++L433++N433++P433++R433++T433++V433++X433++Z433++AB433++AD433+0</f>
        <v>0</v>
      </c>
      <c r="AH433" s="11">
        <f>G433+I433+K433+M433+O433+Q433+S433+U433+W433+Y433+AA433+AC433+AE433+0</f>
        <v>0</v>
      </c>
      <c r="AI433" s="6"/>
    </row>
    <row r="434" spans="1:35" x14ac:dyDescent="0.2">
      <c r="A434" s="4"/>
      <c r="B434" s="17">
        <v>426</v>
      </c>
      <c r="C434" s="41" t="s">
        <v>876</v>
      </c>
      <c r="D434" s="53"/>
      <c r="E434" s="15" t="s">
        <v>877</v>
      </c>
      <c r="F434" s="30"/>
      <c r="G434" s="31"/>
      <c r="H434" s="30"/>
      <c r="I434" s="58"/>
      <c r="J434" s="30"/>
      <c r="K434" s="58"/>
      <c r="L434" s="30"/>
      <c r="M434" s="58"/>
      <c r="N434" s="30"/>
      <c r="O434" s="58"/>
      <c r="P434" s="30"/>
      <c r="Q434" s="58"/>
      <c r="R434" s="30"/>
      <c r="S434" s="58"/>
      <c r="T434" s="30"/>
      <c r="U434" s="58"/>
      <c r="V434" s="30"/>
      <c r="W434" s="58"/>
      <c r="X434" s="30"/>
      <c r="Y434" s="58"/>
      <c r="Z434" s="30"/>
      <c r="AA434" s="58"/>
      <c r="AB434" s="30"/>
      <c r="AC434" s="58"/>
      <c r="AD434" s="30"/>
      <c r="AE434" s="58"/>
      <c r="AF434" s="55">
        <v>70000</v>
      </c>
      <c r="AG434" s="12">
        <f>+F434++H434++J434++L434++N434++P434++R434++T434++V434++X434++Z434++AB434++AD434+0</f>
        <v>0</v>
      </c>
      <c r="AH434" s="11">
        <f>G434+I434+K434+M434+O434+Q434+S434+U434+W434+Y434+AA434+AC434+AE434+0</f>
        <v>0</v>
      </c>
      <c r="AI434" s="6"/>
    </row>
    <row r="435" spans="1:35" x14ac:dyDescent="0.2">
      <c r="A435" s="4"/>
      <c r="B435" s="17">
        <v>427</v>
      </c>
      <c r="C435" s="41" t="s">
        <v>878</v>
      </c>
      <c r="D435" s="53"/>
      <c r="E435" s="15" t="s">
        <v>879</v>
      </c>
      <c r="F435" s="30"/>
      <c r="G435" s="31"/>
      <c r="H435" s="30"/>
      <c r="I435" s="58"/>
      <c r="J435" s="30"/>
      <c r="K435" s="58"/>
      <c r="L435" s="30"/>
      <c r="M435" s="58"/>
      <c r="N435" s="30"/>
      <c r="O435" s="58"/>
      <c r="P435" s="30"/>
      <c r="Q435" s="58"/>
      <c r="R435" s="30"/>
      <c r="S435" s="58"/>
      <c r="T435" s="30"/>
      <c r="U435" s="58"/>
      <c r="V435" s="30"/>
      <c r="W435" s="58"/>
      <c r="X435" s="30"/>
      <c r="Y435" s="58"/>
      <c r="Z435" s="30"/>
      <c r="AA435" s="58"/>
      <c r="AB435" s="30"/>
      <c r="AC435" s="58"/>
      <c r="AD435" s="30"/>
      <c r="AE435" s="58"/>
      <c r="AF435" s="55">
        <v>60000</v>
      </c>
      <c r="AG435" s="12">
        <f>+F435++H435++J435++L435++N435++P435++R435++T435++V435++X435++Z435++AB435++AD435+0</f>
        <v>0</v>
      </c>
      <c r="AH435" s="11">
        <f>G435+I435+K435+M435+O435+Q435+S435+U435+W435+Y435+AA435+AC435+AE435+0</f>
        <v>0</v>
      </c>
      <c r="AI435" s="6"/>
    </row>
    <row r="436" spans="1:35" x14ac:dyDescent="0.2">
      <c r="A436" s="4"/>
      <c r="B436" s="17">
        <v>428</v>
      </c>
      <c r="C436" s="41" t="s">
        <v>880</v>
      </c>
      <c r="D436" s="53"/>
      <c r="E436" s="15" t="s">
        <v>881</v>
      </c>
      <c r="F436" s="30"/>
      <c r="G436" s="31"/>
      <c r="H436" s="30"/>
      <c r="I436" s="58"/>
      <c r="J436" s="30"/>
      <c r="K436" s="58"/>
      <c r="L436" s="30"/>
      <c r="M436" s="58"/>
      <c r="N436" s="30"/>
      <c r="O436" s="58"/>
      <c r="P436" s="30"/>
      <c r="Q436" s="58"/>
      <c r="R436" s="30"/>
      <c r="S436" s="58"/>
      <c r="T436" s="30"/>
      <c r="U436" s="58"/>
      <c r="V436" s="30"/>
      <c r="W436" s="58"/>
      <c r="X436" s="30"/>
      <c r="Y436" s="58"/>
      <c r="Z436" s="30"/>
      <c r="AA436" s="58"/>
      <c r="AB436" s="30"/>
      <c r="AC436" s="58"/>
      <c r="AD436" s="30"/>
      <c r="AE436" s="58"/>
      <c r="AF436" s="55">
        <v>15000</v>
      </c>
      <c r="AG436" s="12">
        <f>+F436++H436++J436++L436++N436++P436++R436++T436++V436++X436++Z436++AB436++AD436+0</f>
        <v>0</v>
      </c>
      <c r="AH436" s="11">
        <f>G436+I436+K436+M436+O436+Q436+S436+U436+W436+Y436+AA436+AC436+AE436+0</f>
        <v>0</v>
      </c>
      <c r="AI436" s="6"/>
    </row>
    <row r="437" spans="1:35" x14ac:dyDescent="0.2">
      <c r="A437" s="4"/>
      <c r="B437" s="17">
        <v>429</v>
      </c>
      <c r="C437" s="41" t="s">
        <v>882</v>
      </c>
      <c r="D437" s="53"/>
      <c r="E437" s="15" t="s">
        <v>883</v>
      </c>
      <c r="F437" s="30"/>
      <c r="G437" s="31"/>
      <c r="H437" s="30"/>
      <c r="I437" s="58"/>
      <c r="J437" s="30"/>
      <c r="K437" s="58"/>
      <c r="L437" s="30"/>
      <c r="M437" s="58"/>
      <c r="N437" s="30"/>
      <c r="O437" s="58"/>
      <c r="P437" s="30"/>
      <c r="Q437" s="58"/>
      <c r="R437" s="30"/>
      <c r="S437" s="58"/>
      <c r="T437" s="30"/>
      <c r="U437" s="58"/>
      <c r="V437" s="30"/>
      <c r="W437" s="58"/>
      <c r="X437" s="30"/>
      <c r="Y437" s="58"/>
      <c r="Z437" s="30"/>
      <c r="AA437" s="58"/>
      <c r="AB437" s="30"/>
      <c r="AC437" s="58"/>
      <c r="AD437" s="30"/>
      <c r="AE437" s="58"/>
      <c r="AF437" s="55">
        <v>50000</v>
      </c>
      <c r="AG437" s="12">
        <f>+F437++H437++J437++L437++N437++P437++R437++T437++V437++X437++Z437++AB437++AD437+0</f>
        <v>0</v>
      </c>
      <c r="AH437" s="11">
        <f>G437+I437+K437+M437+O437+Q437+S437+U437+W437+Y437+AA437+AC437+AE437+0</f>
        <v>0</v>
      </c>
      <c r="AI437" s="6"/>
    </row>
    <row r="438" spans="1:35" x14ac:dyDescent="0.2">
      <c r="A438" s="4"/>
      <c r="B438" s="17">
        <v>430</v>
      </c>
      <c r="C438" s="41" t="s">
        <v>884</v>
      </c>
      <c r="D438" s="53"/>
      <c r="E438" s="15" t="s">
        <v>885</v>
      </c>
      <c r="F438" s="30"/>
      <c r="G438" s="31"/>
      <c r="H438" s="30"/>
      <c r="I438" s="58"/>
      <c r="J438" s="30"/>
      <c r="K438" s="58"/>
      <c r="L438" s="30"/>
      <c r="M438" s="58"/>
      <c r="N438" s="30"/>
      <c r="O438" s="58"/>
      <c r="P438" s="30"/>
      <c r="Q438" s="58"/>
      <c r="R438" s="30"/>
      <c r="S438" s="58"/>
      <c r="T438" s="30"/>
      <c r="U438" s="58"/>
      <c r="V438" s="30"/>
      <c r="W438" s="58"/>
      <c r="X438" s="30"/>
      <c r="Y438" s="58"/>
      <c r="Z438" s="30"/>
      <c r="AA438" s="58"/>
      <c r="AB438" s="30"/>
      <c r="AC438" s="58"/>
      <c r="AD438" s="30"/>
      <c r="AE438" s="58"/>
      <c r="AF438" s="55">
        <v>25000</v>
      </c>
      <c r="AG438" s="12">
        <f>+F438++H438++J438++L438++N438++P438++R438++T438++V438++X438++Z438++AB438++AD438+0</f>
        <v>0</v>
      </c>
      <c r="AH438" s="11">
        <f>G438+I438+K438+M438+O438+Q438+S438+U438+W438+Y438+AA438+AC438+AE438+0</f>
        <v>0</v>
      </c>
      <c r="AI438" s="6"/>
    </row>
    <row r="439" spans="1:35" x14ac:dyDescent="0.2">
      <c r="A439" s="4"/>
      <c r="B439" s="17">
        <v>431</v>
      </c>
      <c r="C439" s="41" t="s">
        <v>886</v>
      </c>
      <c r="D439" s="53"/>
      <c r="E439" s="15" t="s">
        <v>887</v>
      </c>
      <c r="F439" s="30"/>
      <c r="G439" s="31"/>
      <c r="H439" s="30"/>
      <c r="I439" s="58"/>
      <c r="J439" s="30"/>
      <c r="K439" s="58"/>
      <c r="L439" s="30"/>
      <c r="M439" s="58"/>
      <c r="N439" s="30"/>
      <c r="O439" s="58"/>
      <c r="P439" s="30"/>
      <c r="Q439" s="58"/>
      <c r="R439" s="30"/>
      <c r="S439" s="58"/>
      <c r="T439" s="30"/>
      <c r="U439" s="58"/>
      <c r="V439" s="30"/>
      <c r="W439" s="58"/>
      <c r="X439" s="30"/>
      <c r="Y439" s="58"/>
      <c r="Z439" s="30"/>
      <c r="AA439" s="58"/>
      <c r="AB439" s="30"/>
      <c r="AC439" s="58"/>
      <c r="AD439" s="30"/>
      <c r="AE439" s="58"/>
      <c r="AF439" s="55">
        <v>125000</v>
      </c>
      <c r="AG439" s="12">
        <f>+F439++H439++J439++L439++N439++P439++R439++T439++V439++X439++Z439++AB439++AD439+0</f>
        <v>0</v>
      </c>
      <c r="AH439" s="11">
        <f>G439+I439+K439+M439+O439+Q439+S439+U439+W439+Y439+AA439+AC439+AE439+0</f>
        <v>0</v>
      </c>
      <c r="AI439" s="6"/>
    </row>
    <row r="440" spans="1:35" x14ac:dyDescent="0.2">
      <c r="A440" s="4"/>
      <c r="B440" s="17">
        <v>432</v>
      </c>
      <c r="C440" s="41" t="s">
        <v>888</v>
      </c>
      <c r="D440" s="53"/>
      <c r="E440" s="15" t="s">
        <v>889</v>
      </c>
      <c r="F440" s="30"/>
      <c r="G440" s="31"/>
      <c r="H440" s="30"/>
      <c r="I440" s="58"/>
      <c r="J440" s="30"/>
      <c r="K440" s="58"/>
      <c r="L440" s="30"/>
      <c r="M440" s="58"/>
      <c r="N440" s="30"/>
      <c r="O440" s="58"/>
      <c r="P440" s="30"/>
      <c r="Q440" s="58"/>
      <c r="R440" s="30"/>
      <c r="S440" s="58"/>
      <c r="T440" s="30"/>
      <c r="U440" s="58"/>
      <c r="V440" s="30"/>
      <c r="W440" s="58"/>
      <c r="X440" s="30"/>
      <c r="Y440" s="58"/>
      <c r="Z440" s="30"/>
      <c r="AA440" s="58"/>
      <c r="AB440" s="30"/>
      <c r="AC440" s="58"/>
      <c r="AD440" s="30"/>
      <c r="AE440" s="58"/>
      <c r="AF440" s="55">
        <v>100000</v>
      </c>
      <c r="AG440" s="12">
        <f>+F440++H440++J440++L440++N440++P440++R440++T440++V440++X440++Z440++AB440++AD440+0</f>
        <v>0</v>
      </c>
      <c r="AH440" s="11">
        <f>G440+I440+K440+M440+O440+Q440+S440+U440+W440+Y440+AA440+AC440+AE440+0</f>
        <v>0</v>
      </c>
      <c r="AI440" s="6"/>
    </row>
    <row r="441" spans="1:35" x14ac:dyDescent="0.2">
      <c r="A441" s="4"/>
      <c r="B441" s="17">
        <v>433</v>
      </c>
      <c r="C441" s="41" t="s">
        <v>890</v>
      </c>
      <c r="D441" s="53"/>
      <c r="E441" s="15" t="s">
        <v>891</v>
      </c>
      <c r="F441" s="30"/>
      <c r="G441" s="31"/>
      <c r="H441" s="30"/>
      <c r="I441" s="58"/>
      <c r="J441" s="30"/>
      <c r="K441" s="58"/>
      <c r="L441" s="30"/>
      <c r="M441" s="58"/>
      <c r="N441" s="30"/>
      <c r="O441" s="58"/>
      <c r="P441" s="30"/>
      <c r="Q441" s="58"/>
      <c r="R441" s="30"/>
      <c r="S441" s="58"/>
      <c r="T441" s="30"/>
      <c r="U441" s="58"/>
      <c r="V441" s="30"/>
      <c r="W441" s="58"/>
      <c r="X441" s="30"/>
      <c r="Y441" s="58"/>
      <c r="Z441" s="30"/>
      <c r="AA441" s="58"/>
      <c r="AB441" s="30"/>
      <c r="AC441" s="58"/>
      <c r="AD441" s="30"/>
      <c r="AE441" s="58"/>
      <c r="AF441" s="55">
        <v>300000</v>
      </c>
      <c r="AG441" s="12">
        <f>+F441++H441++J441++L441++N441++P441++R441++T441++V441++X441++Z441++AB441++AD441+0</f>
        <v>0</v>
      </c>
      <c r="AH441" s="11">
        <f>G441+I441+K441+M441+O441+Q441+S441+U441+W441+Y441+AA441+AC441+AE441+0</f>
        <v>0</v>
      </c>
      <c r="AI441" s="6"/>
    </row>
    <row r="442" spans="1:35" x14ac:dyDescent="0.2">
      <c r="A442" s="4"/>
      <c r="B442" s="17">
        <v>434</v>
      </c>
      <c r="C442" s="41" t="s">
        <v>892</v>
      </c>
      <c r="D442" s="53"/>
      <c r="E442" s="15" t="s">
        <v>893</v>
      </c>
      <c r="F442" s="30"/>
      <c r="G442" s="31"/>
      <c r="H442" s="30"/>
      <c r="I442" s="58"/>
      <c r="J442" s="30"/>
      <c r="K442" s="58"/>
      <c r="L442" s="30"/>
      <c r="M442" s="58"/>
      <c r="N442" s="30"/>
      <c r="O442" s="58"/>
      <c r="P442" s="30"/>
      <c r="Q442" s="58"/>
      <c r="R442" s="30"/>
      <c r="S442" s="58"/>
      <c r="T442" s="30"/>
      <c r="U442" s="58"/>
      <c r="V442" s="30"/>
      <c r="W442" s="58"/>
      <c r="X442" s="30"/>
      <c r="Y442" s="58"/>
      <c r="Z442" s="30"/>
      <c r="AA442" s="58"/>
      <c r="AB442" s="30"/>
      <c r="AC442" s="58"/>
      <c r="AD442" s="30"/>
      <c r="AE442" s="58"/>
      <c r="AF442" s="55">
        <v>200000</v>
      </c>
      <c r="AG442" s="12">
        <f>+F442++H442++J442++L442++N442++P442++R442++T442++V442++X442++Z442++AB442++AD442+0</f>
        <v>0</v>
      </c>
      <c r="AH442" s="11">
        <f>G442+I442+K442+M442+O442+Q442+S442+U442+W442+Y442+AA442+AC442+AE442+0</f>
        <v>0</v>
      </c>
      <c r="AI442" s="6"/>
    </row>
    <row r="443" spans="1:35" x14ac:dyDescent="0.2">
      <c r="A443" s="4"/>
      <c r="B443" s="17">
        <v>435</v>
      </c>
      <c r="C443" s="41" t="s">
        <v>894</v>
      </c>
      <c r="D443" s="53"/>
      <c r="E443" s="15" t="s">
        <v>895</v>
      </c>
      <c r="F443" s="30"/>
      <c r="G443" s="31"/>
      <c r="H443" s="30"/>
      <c r="I443" s="58"/>
      <c r="J443" s="30"/>
      <c r="K443" s="58"/>
      <c r="L443" s="30"/>
      <c r="M443" s="58"/>
      <c r="N443" s="30"/>
      <c r="O443" s="58"/>
      <c r="P443" s="30"/>
      <c r="Q443" s="58"/>
      <c r="R443" s="30"/>
      <c r="S443" s="58"/>
      <c r="T443" s="30"/>
      <c r="U443" s="58"/>
      <c r="V443" s="30"/>
      <c r="W443" s="58"/>
      <c r="X443" s="30"/>
      <c r="Y443" s="58"/>
      <c r="Z443" s="30"/>
      <c r="AA443" s="58"/>
      <c r="AB443" s="30"/>
      <c r="AC443" s="58"/>
      <c r="AD443" s="30"/>
      <c r="AE443" s="58"/>
      <c r="AF443" s="55">
        <v>24000</v>
      </c>
      <c r="AG443" s="12">
        <f>+F443++H443++J443++L443++N443++P443++R443++T443++V443++X443++Z443++AB443++AD443+0</f>
        <v>0</v>
      </c>
      <c r="AH443" s="11">
        <f>G443+I443+K443+M443+O443+Q443+S443+U443+W443+Y443+AA443+AC443+AE443+0</f>
        <v>0</v>
      </c>
      <c r="AI443" s="6"/>
    </row>
    <row r="444" spans="1:35" x14ac:dyDescent="0.2">
      <c r="A444" s="4"/>
      <c r="B444" s="17">
        <v>436</v>
      </c>
      <c r="C444" s="41" t="s">
        <v>896</v>
      </c>
      <c r="D444" s="53"/>
      <c r="E444" s="15" t="s">
        <v>897</v>
      </c>
      <c r="F444" s="30"/>
      <c r="G444" s="31"/>
      <c r="H444" s="30"/>
      <c r="I444" s="58"/>
      <c r="J444" s="30"/>
      <c r="K444" s="58"/>
      <c r="L444" s="30"/>
      <c r="M444" s="58"/>
      <c r="N444" s="30"/>
      <c r="O444" s="58"/>
      <c r="P444" s="30"/>
      <c r="Q444" s="58"/>
      <c r="R444" s="30"/>
      <c r="S444" s="58"/>
      <c r="T444" s="30"/>
      <c r="U444" s="58"/>
      <c r="V444" s="30"/>
      <c r="W444" s="58"/>
      <c r="X444" s="30"/>
      <c r="Y444" s="58"/>
      <c r="Z444" s="30"/>
      <c r="AA444" s="58"/>
      <c r="AB444" s="30"/>
      <c r="AC444" s="58"/>
      <c r="AD444" s="30"/>
      <c r="AE444" s="58"/>
      <c r="AF444" s="55">
        <v>50000</v>
      </c>
      <c r="AG444" s="12">
        <f>+F444++H444++J444++L444++N444++P444++R444++T444++V444++X444++Z444++AB444++AD444+0</f>
        <v>0</v>
      </c>
      <c r="AH444" s="11">
        <f>G444+I444+K444+M444+O444+Q444+S444+U444+W444+Y444+AA444+AC444+AE444+0</f>
        <v>0</v>
      </c>
      <c r="AI444" s="6"/>
    </row>
    <row r="445" spans="1:35" x14ac:dyDescent="0.2">
      <c r="A445" s="4"/>
      <c r="B445" s="17">
        <v>437</v>
      </c>
      <c r="C445" s="41" t="s">
        <v>898</v>
      </c>
      <c r="D445" s="53"/>
      <c r="E445" s="15" t="s">
        <v>899</v>
      </c>
      <c r="F445" s="30"/>
      <c r="G445" s="31"/>
      <c r="H445" s="30"/>
      <c r="I445" s="58"/>
      <c r="J445" s="30"/>
      <c r="K445" s="58"/>
      <c r="L445" s="30"/>
      <c r="M445" s="58"/>
      <c r="N445" s="30"/>
      <c r="O445" s="58"/>
      <c r="P445" s="30"/>
      <c r="Q445" s="58"/>
      <c r="R445" s="30"/>
      <c r="S445" s="58"/>
      <c r="T445" s="30"/>
      <c r="U445" s="58"/>
      <c r="V445" s="30"/>
      <c r="W445" s="58"/>
      <c r="X445" s="30"/>
      <c r="Y445" s="58"/>
      <c r="Z445" s="30"/>
      <c r="AA445" s="58"/>
      <c r="AB445" s="30"/>
      <c r="AC445" s="58"/>
      <c r="AD445" s="30"/>
      <c r="AE445" s="58"/>
      <c r="AF445" s="55">
        <v>20000</v>
      </c>
      <c r="AG445" s="12">
        <f>+F445++H445++J445++L445++N445++P445++R445++T445++V445++X445++Z445++AB445++AD445+0</f>
        <v>0</v>
      </c>
      <c r="AH445" s="11">
        <f>G445+I445+K445+M445+O445+Q445+S445+U445+W445+Y445+AA445+AC445+AE445+0</f>
        <v>0</v>
      </c>
      <c r="AI445" s="6"/>
    </row>
    <row r="446" spans="1:35" x14ac:dyDescent="0.2">
      <c r="A446" s="4"/>
      <c r="B446" s="17">
        <v>438</v>
      </c>
      <c r="C446" s="41" t="s">
        <v>900</v>
      </c>
      <c r="D446" s="53"/>
      <c r="E446" s="15" t="s">
        <v>901</v>
      </c>
      <c r="F446" s="30"/>
      <c r="G446" s="31"/>
      <c r="H446" s="30"/>
      <c r="I446" s="58"/>
      <c r="J446" s="30"/>
      <c r="K446" s="58"/>
      <c r="L446" s="30"/>
      <c r="M446" s="58"/>
      <c r="N446" s="30"/>
      <c r="O446" s="58"/>
      <c r="P446" s="30"/>
      <c r="Q446" s="58"/>
      <c r="R446" s="30"/>
      <c r="S446" s="58"/>
      <c r="T446" s="30"/>
      <c r="U446" s="58"/>
      <c r="V446" s="30"/>
      <c r="W446" s="58"/>
      <c r="X446" s="30"/>
      <c r="Y446" s="58"/>
      <c r="Z446" s="30"/>
      <c r="AA446" s="58"/>
      <c r="AB446" s="30"/>
      <c r="AC446" s="58"/>
      <c r="AD446" s="30"/>
      <c r="AE446" s="58"/>
      <c r="AF446" s="55">
        <v>15000</v>
      </c>
      <c r="AG446" s="12">
        <f>+F446++H446++J446++L446++N446++P446++R446++T446++V446++X446++Z446++AB446++AD446+0</f>
        <v>0</v>
      </c>
      <c r="AH446" s="11">
        <f>G446+I446+K446+M446+O446+Q446+S446+U446+W446+Y446+AA446+AC446+AE446+0</f>
        <v>0</v>
      </c>
      <c r="AI446" s="6"/>
    </row>
    <row r="447" spans="1:35" x14ac:dyDescent="0.2">
      <c r="A447" s="4"/>
      <c r="B447" s="17">
        <v>439</v>
      </c>
      <c r="C447" s="41" t="s">
        <v>902</v>
      </c>
      <c r="D447" s="53"/>
      <c r="E447" s="15" t="s">
        <v>903</v>
      </c>
      <c r="F447" s="30"/>
      <c r="G447" s="31"/>
      <c r="H447" s="30"/>
      <c r="I447" s="58"/>
      <c r="J447" s="30"/>
      <c r="K447" s="58"/>
      <c r="L447" s="30"/>
      <c r="M447" s="58"/>
      <c r="N447" s="30"/>
      <c r="O447" s="58"/>
      <c r="P447" s="30"/>
      <c r="Q447" s="58"/>
      <c r="R447" s="30"/>
      <c r="S447" s="58"/>
      <c r="T447" s="30"/>
      <c r="U447" s="58"/>
      <c r="V447" s="30"/>
      <c r="W447" s="58"/>
      <c r="X447" s="30"/>
      <c r="Y447" s="58"/>
      <c r="Z447" s="30"/>
      <c r="AA447" s="58"/>
      <c r="AB447" s="30"/>
      <c r="AC447" s="58"/>
      <c r="AD447" s="30"/>
      <c r="AE447" s="58"/>
      <c r="AF447" s="55">
        <v>50000</v>
      </c>
      <c r="AG447" s="12">
        <f>+F447++H447++J447++L447++N447++P447++R447++T447++V447++X447++Z447++AB447++AD447+0</f>
        <v>0</v>
      </c>
      <c r="AH447" s="11">
        <f>G447+I447+K447+M447+O447+Q447+S447+U447+W447+Y447+AA447+AC447+AE447+0</f>
        <v>0</v>
      </c>
      <c r="AI447" s="6"/>
    </row>
    <row r="448" spans="1:35" x14ac:dyDescent="0.2">
      <c r="A448" s="4"/>
      <c r="B448" s="17">
        <v>440</v>
      </c>
      <c r="C448" s="41" t="s">
        <v>904</v>
      </c>
      <c r="D448" s="53"/>
      <c r="E448" s="15" t="s">
        <v>905</v>
      </c>
      <c r="F448" s="30"/>
      <c r="G448" s="31"/>
      <c r="H448" s="30"/>
      <c r="I448" s="58"/>
      <c r="J448" s="30"/>
      <c r="K448" s="58"/>
      <c r="L448" s="30"/>
      <c r="M448" s="58"/>
      <c r="N448" s="30"/>
      <c r="O448" s="58"/>
      <c r="P448" s="30"/>
      <c r="Q448" s="58"/>
      <c r="R448" s="30"/>
      <c r="S448" s="58"/>
      <c r="T448" s="30"/>
      <c r="U448" s="58"/>
      <c r="V448" s="30"/>
      <c r="W448" s="58"/>
      <c r="X448" s="30"/>
      <c r="Y448" s="58"/>
      <c r="Z448" s="30"/>
      <c r="AA448" s="58"/>
      <c r="AB448" s="30"/>
      <c r="AC448" s="58"/>
      <c r="AD448" s="30"/>
      <c r="AE448" s="58"/>
      <c r="AF448" s="55">
        <v>50000</v>
      </c>
      <c r="AG448" s="12">
        <f>+F448++H448++J448++L448++N448++P448++R448++T448++V448++X448++Z448++AB448++AD448+0</f>
        <v>0</v>
      </c>
      <c r="AH448" s="11">
        <f>G448+I448+K448+M448+O448+Q448+S448+U448+W448+Y448+AA448+AC448+AE448+0</f>
        <v>0</v>
      </c>
      <c r="AI448" s="6"/>
    </row>
    <row r="449" spans="1:35" x14ac:dyDescent="0.2">
      <c r="A449" s="4"/>
      <c r="B449" s="17">
        <v>441</v>
      </c>
      <c r="C449" s="41" t="s">
        <v>906</v>
      </c>
      <c r="D449" s="53"/>
      <c r="E449" s="15" t="s">
        <v>907</v>
      </c>
      <c r="F449" s="30"/>
      <c r="G449" s="31"/>
      <c r="H449" s="30"/>
      <c r="I449" s="58"/>
      <c r="J449" s="30"/>
      <c r="K449" s="58"/>
      <c r="L449" s="30"/>
      <c r="M449" s="58"/>
      <c r="N449" s="30"/>
      <c r="O449" s="58"/>
      <c r="P449" s="30"/>
      <c r="Q449" s="58"/>
      <c r="R449" s="30"/>
      <c r="S449" s="58"/>
      <c r="T449" s="30"/>
      <c r="U449" s="58"/>
      <c r="V449" s="30"/>
      <c r="W449" s="58"/>
      <c r="X449" s="30"/>
      <c r="Y449" s="58"/>
      <c r="Z449" s="30"/>
      <c r="AA449" s="58"/>
      <c r="AB449" s="30"/>
      <c r="AC449" s="58"/>
      <c r="AD449" s="30"/>
      <c r="AE449" s="58"/>
      <c r="AF449" s="55">
        <v>50000</v>
      </c>
      <c r="AG449" s="12">
        <f>+F449++H449++J449++L449++N449++P449++R449++T449++V449++X449++Z449++AB449++AD449+0</f>
        <v>0</v>
      </c>
      <c r="AH449" s="11">
        <f>G449+I449+K449+M449+O449+Q449+S449+U449+W449+Y449+AA449+AC449+AE449+0</f>
        <v>0</v>
      </c>
      <c r="AI449" s="6"/>
    </row>
    <row r="450" spans="1:35" x14ac:dyDescent="0.2">
      <c r="A450" s="4"/>
      <c r="B450" s="17">
        <v>442</v>
      </c>
      <c r="C450" s="41" t="s">
        <v>908</v>
      </c>
      <c r="D450" s="53"/>
      <c r="E450" s="15" t="s">
        <v>909</v>
      </c>
      <c r="F450" s="30"/>
      <c r="G450" s="31"/>
      <c r="H450" s="30"/>
      <c r="I450" s="58"/>
      <c r="J450" s="30"/>
      <c r="K450" s="58"/>
      <c r="L450" s="30"/>
      <c r="M450" s="58"/>
      <c r="N450" s="30"/>
      <c r="O450" s="58"/>
      <c r="P450" s="30"/>
      <c r="Q450" s="58"/>
      <c r="R450" s="30"/>
      <c r="S450" s="58"/>
      <c r="T450" s="30"/>
      <c r="U450" s="58"/>
      <c r="V450" s="30"/>
      <c r="W450" s="58"/>
      <c r="X450" s="30"/>
      <c r="Y450" s="58"/>
      <c r="Z450" s="30"/>
      <c r="AA450" s="58"/>
      <c r="AB450" s="30"/>
      <c r="AC450" s="58"/>
      <c r="AD450" s="30"/>
      <c r="AE450" s="58"/>
      <c r="AF450" s="55">
        <v>150000</v>
      </c>
      <c r="AG450" s="12">
        <f>+F450++H450++J450++L450++N450++P450++R450++T450++V450++X450++Z450++AB450++AD450+0</f>
        <v>0</v>
      </c>
      <c r="AH450" s="11">
        <f>G450+I450+K450+M450+O450+Q450+S450+U450+W450+Y450+AA450+AC450+AE450+0</f>
        <v>0</v>
      </c>
      <c r="AI450" s="6"/>
    </row>
    <row r="451" spans="1:35" x14ac:dyDescent="0.2">
      <c r="A451" s="4"/>
      <c r="B451" s="17">
        <v>443</v>
      </c>
      <c r="C451" s="41" t="s">
        <v>910</v>
      </c>
      <c r="D451" s="53"/>
      <c r="E451" s="15" t="s">
        <v>911</v>
      </c>
      <c r="F451" s="30"/>
      <c r="G451" s="31"/>
      <c r="H451" s="30"/>
      <c r="I451" s="58"/>
      <c r="J451" s="30"/>
      <c r="K451" s="58"/>
      <c r="L451" s="30"/>
      <c r="M451" s="58"/>
      <c r="N451" s="30"/>
      <c r="O451" s="58"/>
      <c r="P451" s="30"/>
      <c r="Q451" s="58"/>
      <c r="R451" s="30"/>
      <c r="S451" s="58"/>
      <c r="T451" s="30"/>
      <c r="U451" s="58"/>
      <c r="V451" s="30"/>
      <c r="W451" s="58"/>
      <c r="X451" s="30"/>
      <c r="Y451" s="58"/>
      <c r="Z451" s="30"/>
      <c r="AA451" s="58"/>
      <c r="AB451" s="30"/>
      <c r="AC451" s="58"/>
      <c r="AD451" s="30"/>
      <c r="AE451" s="58"/>
      <c r="AF451" s="55">
        <v>30000</v>
      </c>
      <c r="AG451" s="12">
        <f>+F451++H451++J451++L451++N451++P451++R451++T451++V451++X451++Z451++AB451++AD451+0</f>
        <v>0</v>
      </c>
      <c r="AH451" s="11">
        <f>G451+I451+K451+M451+O451+Q451+S451+U451+W451+Y451+AA451+AC451+AE451+0</f>
        <v>0</v>
      </c>
      <c r="AI451" s="6"/>
    </row>
    <row r="452" spans="1:35" x14ac:dyDescent="0.2">
      <c r="A452" s="4"/>
      <c r="B452" s="17">
        <v>444</v>
      </c>
      <c r="C452" s="41" t="s">
        <v>912</v>
      </c>
      <c r="D452" s="53"/>
      <c r="E452" s="15" t="s">
        <v>913</v>
      </c>
      <c r="F452" s="30"/>
      <c r="G452" s="31"/>
      <c r="H452" s="30"/>
      <c r="I452" s="58"/>
      <c r="J452" s="30"/>
      <c r="K452" s="58"/>
      <c r="L452" s="30"/>
      <c r="M452" s="58"/>
      <c r="N452" s="30"/>
      <c r="O452" s="58"/>
      <c r="P452" s="30"/>
      <c r="Q452" s="58"/>
      <c r="R452" s="30"/>
      <c r="S452" s="58"/>
      <c r="T452" s="30"/>
      <c r="U452" s="58"/>
      <c r="V452" s="30"/>
      <c r="W452" s="58"/>
      <c r="X452" s="30"/>
      <c r="Y452" s="58"/>
      <c r="Z452" s="30"/>
      <c r="AA452" s="58"/>
      <c r="AB452" s="30"/>
      <c r="AC452" s="58"/>
      <c r="AD452" s="30"/>
      <c r="AE452" s="58"/>
      <c r="AF452" s="55">
        <v>10000</v>
      </c>
      <c r="AG452" s="12">
        <f>+F452++H452++J452++L452++N452++P452++R452++T452++V452++X452++Z452++AB452++AD452+0</f>
        <v>0</v>
      </c>
      <c r="AH452" s="11">
        <f>G452+I452+K452+M452+O452+Q452+S452+U452+W452+Y452+AA452+AC452+AE452+0</f>
        <v>0</v>
      </c>
      <c r="AI452" s="6"/>
    </row>
    <row r="453" spans="1:35" x14ac:dyDescent="0.2">
      <c r="A453" s="4"/>
      <c r="B453" s="17">
        <v>445</v>
      </c>
      <c r="C453" s="41" t="s">
        <v>914</v>
      </c>
      <c r="D453" s="53"/>
      <c r="E453" s="15" t="s">
        <v>915</v>
      </c>
      <c r="F453" s="30"/>
      <c r="G453" s="31"/>
      <c r="H453" s="30"/>
      <c r="I453" s="58"/>
      <c r="J453" s="30"/>
      <c r="K453" s="58"/>
      <c r="L453" s="30"/>
      <c r="M453" s="58"/>
      <c r="N453" s="30"/>
      <c r="O453" s="58"/>
      <c r="P453" s="30"/>
      <c r="Q453" s="58"/>
      <c r="R453" s="30"/>
      <c r="S453" s="58"/>
      <c r="T453" s="30"/>
      <c r="U453" s="58"/>
      <c r="V453" s="30"/>
      <c r="W453" s="58"/>
      <c r="X453" s="30"/>
      <c r="Y453" s="58"/>
      <c r="Z453" s="30"/>
      <c r="AA453" s="58"/>
      <c r="AB453" s="30"/>
      <c r="AC453" s="58"/>
      <c r="AD453" s="30"/>
      <c r="AE453" s="58"/>
      <c r="AF453" s="55">
        <v>15000</v>
      </c>
      <c r="AG453" s="12">
        <f>+F453++H453++J453++L453++N453++P453++R453++T453++V453++X453++Z453++AB453++AD453+0</f>
        <v>0</v>
      </c>
      <c r="AH453" s="11">
        <f>G453+I453+K453+M453+O453+Q453+S453+U453+W453+Y453+AA453+AC453+AE453+0</f>
        <v>0</v>
      </c>
      <c r="AI453" s="6"/>
    </row>
    <row r="454" spans="1:35" x14ac:dyDescent="0.2">
      <c r="A454" s="4"/>
      <c r="B454" s="17">
        <v>446</v>
      </c>
      <c r="C454" s="41" t="s">
        <v>916</v>
      </c>
      <c r="D454" s="53"/>
      <c r="E454" s="15" t="s">
        <v>917</v>
      </c>
      <c r="F454" s="30"/>
      <c r="G454" s="31"/>
      <c r="H454" s="30"/>
      <c r="I454" s="58"/>
      <c r="J454" s="30"/>
      <c r="K454" s="58"/>
      <c r="L454" s="30"/>
      <c r="M454" s="58"/>
      <c r="N454" s="30"/>
      <c r="O454" s="58"/>
      <c r="P454" s="30"/>
      <c r="Q454" s="58"/>
      <c r="R454" s="30"/>
      <c r="S454" s="58"/>
      <c r="T454" s="30"/>
      <c r="U454" s="58"/>
      <c r="V454" s="30"/>
      <c r="W454" s="58"/>
      <c r="X454" s="30"/>
      <c r="Y454" s="58"/>
      <c r="Z454" s="30"/>
      <c r="AA454" s="58"/>
      <c r="AB454" s="30"/>
      <c r="AC454" s="58"/>
      <c r="AD454" s="30"/>
      <c r="AE454" s="58"/>
      <c r="AF454" s="55">
        <v>30000</v>
      </c>
      <c r="AG454" s="12">
        <f>+F454++H454++J454++L454++N454++P454++R454++T454++V454++X454++Z454++AB454++AD454+0</f>
        <v>0</v>
      </c>
      <c r="AH454" s="11">
        <f>G454+I454+K454+M454+O454+Q454+S454+U454+W454+Y454+AA454+AC454+AE454+0</f>
        <v>0</v>
      </c>
      <c r="AI454" s="6"/>
    </row>
    <row r="455" spans="1:35" x14ac:dyDescent="0.2">
      <c r="A455" s="4"/>
      <c r="B455" s="17">
        <v>447</v>
      </c>
      <c r="C455" s="41" t="s">
        <v>918</v>
      </c>
      <c r="D455" s="53"/>
      <c r="E455" s="15" t="s">
        <v>919</v>
      </c>
      <c r="F455" s="30"/>
      <c r="G455" s="31"/>
      <c r="H455" s="30"/>
      <c r="I455" s="58"/>
      <c r="J455" s="30"/>
      <c r="K455" s="58"/>
      <c r="L455" s="30"/>
      <c r="M455" s="58"/>
      <c r="N455" s="30"/>
      <c r="O455" s="58"/>
      <c r="P455" s="30"/>
      <c r="Q455" s="58"/>
      <c r="R455" s="30"/>
      <c r="S455" s="58"/>
      <c r="T455" s="30"/>
      <c r="U455" s="58"/>
      <c r="V455" s="30"/>
      <c r="W455" s="58"/>
      <c r="X455" s="30"/>
      <c r="Y455" s="58"/>
      <c r="Z455" s="30"/>
      <c r="AA455" s="58"/>
      <c r="AB455" s="30"/>
      <c r="AC455" s="58"/>
      <c r="AD455" s="30"/>
      <c r="AE455" s="58"/>
      <c r="AF455" s="55">
        <v>40000</v>
      </c>
      <c r="AG455" s="12">
        <f>+F455++H455++J455++L455++N455++P455++R455++T455++V455++X455++Z455++AB455++AD455+0</f>
        <v>0</v>
      </c>
      <c r="AH455" s="11">
        <f>G455+I455+K455+M455+O455+Q455+S455+U455+W455+Y455+AA455+AC455+AE455+0</f>
        <v>0</v>
      </c>
      <c r="AI455" s="6"/>
    </row>
    <row r="456" spans="1:35" x14ac:dyDescent="0.2">
      <c r="A456" s="4"/>
      <c r="B456" s="17">
        <v>448</v>
      </c>
      <c r="C456" s="41" t="s">
        <v>920</v>
      </c>
      <c r="D456" s="53"/>
      <c r="E456" s="15" t="s">
        <v>921</v>
      </c>
      <c r="F456" s="30"/>
      <c r="G456" s="31"/>
      <c r="H456" s="30"/>
      <c r="I456" s="58"/>
      <c r="J456" s="30"/>
      <c r="K456" s="58"/>
      <c r="L456" s="30"/>
      <c r="M456" s="58"/>
      <c r="N456" s="30"/>
      <c r="O456" s="58"/>
      <c r="P456" s="30"/>
      <c r="Q456" s="58"/>
      <c r="R456" s="30"/>
      <c r="S456" s="58"/>
      <c r="T456" s="30"/>
      <c r="U456" s="58"/>
      <c r="V456" s="30"/>
      <c r="W456" s="58"/>
      <c r="X456" s="30"/>
      <c r="Y456" s="58"/>
      <c r="Z456" s="30"/>
      <c r="AA456" s="58"/>
      <c r="AB456" s="30"/>
      <c r="AC456" s="58"/>
      <c r="AD456" s="30"/>
      <c r="AE456" s="58"/>
      <c r="AF456" s="55">
        <v>50000</v>
      </c>
      <c r="AG456" s="12">
        <f>+F456++H456++J456++L456++N456++P456++R456++T456++V456++X456++Z456++AB456++AD456+0</f>
        <v>0</v>
      </c>
      <c r="AH456" s="11">
        <f>G456+I456+K456+M456+O456+Q456+S456+U456+W456+Y456+AA456+AC456+AE456+0</f>
        <v>0</v>
      </c>
      <c r="AI456" s="6"/>
    </row>
    <row r="457" spans="1:35" x14ac:dyDescent="0.2">
      <c r="A457" s="4"/>
      <c r="B457" s="17">
        <v>449</v>
      </c>
      <c r="C457" s="41" t="s">
        <v>922</v>
      </c>
      <c r="D457" s="53"/>
      <c r="E457" s="15" t="s">
        <v>923</v>
      </c>
      <c r="F457" s="30"/>
      <c r="G457" s="31"/>
      <c r="H457" s="30"/>
      <c r="I457" s="58"/>
      <c r="J457" s="30"/>
      <c r="K457" s="58"/>
      <c r="L457" s="30"/>
      <c r="M457" s="58"/>
      <c r="N457" s="30"/>
      <c r="O457" s="58"/>
      <c r="P457" s="30"/>
      <c r="Q457" s="58"/>
      <c r="R457" s="30"/>
      <c r="S457" s="58"/>
      <c r="T457" s="30"/>
      <c r="U457" s="58"/>
      <c r="V457" s="30"/>
      <c r="W457" s="58"/>
      <c r="X457" s="30"/>
      <c r="Y457" s="58"/>
      <c r="Z457" s="30"/>
      <c r="AA457" s="58"/>
      <c r="AB457" s="30"/>
      <c r="AC457" s="58"/>
      <c r="AD457" s="30"/>
      <c r="AE457" s="58"/>
      <c r="AF457" s="55">
        <v>10000</v>
      </c>
      <c r="AG457" s="12">
        <f>+F457++H457++J457++L457++N457++P457++R457++T457++V457++X457++Z457++AB457++AD457+0</f>
        <v>0</v>
      </c>
      <c r="AH457" s="11">
        <f>G457+I457+K457+M457+O457+Q457+S457+U457+W457+Y457+AA457+AC457+AE457+0</f>
        <v>0</v>
      </c>
      <c r="AI457" s="6"/>
    </row>
    <row r="458" spans="1:35" x14ac:dyDescent="0.2">
      <c r="A458" s="4"/>
      <c r="B458" s="17">
        <v>450</v>
      </c>
      <c r="C458" s="41" t="s">
        <v>924</v>
      </c>
      <c r="D458" s="53"/>
      <c r="E458" s="15" t="s">
        <v>925</v>
      </c>
      <c r="F458" s="30"/>
      <c r="G458" s="31"/>
      <c r="H458" s="30"/>
      <c r="I458" s="58"/>
      <c r="J458" s="30"/>
      <c r="K458" s="58"/>
      <c r="L458" s="30"/>
      <c r="M458" s="58"/>
      <c r="N458" s="30"/>
      <c r="O458" s="58"/>
      <c r="P458" s="30"/>
      <c r="Q458" s="58"/>
      <c r="R458" s="30"/>
      <c r="S458" s="58"/>
      <c r="T458" s="30"/>
      <c r="U458" s="58"/>
      <c r="V458" s="30"/>
      <c r="W458" s="58"/>
      <c r="X458" s="30"/>
      <c r="Y458" s="58"/>
      <c r="Z458" s="30"/>
      <c r="AA458" s="58"/>
      <c r="AB458" s="30"/>
      <c r="AC458" s="58"/>
      <c r="AD458" s="30"/>
      <c r="AE458" s="58"/>
      <c r="AF458" s="55">
        <v>20000</v>
      </c>
      <c r="AG458" s="12">
        <f>+F458++H458++J458++L458++N458++P458++R458++T458++V458++X458++Z458++AB458++AD458+0</f>
        <v>0</v>
      </c>
      <c r="AH458" s="11">
        <f>G458+I458+K458+M458+O458+Q458+S458+U458+W458+Y458+AA458+AC458+AE458+0</f>
        <v>0</v>
      </c>
      <c r="AI458" s="6"/>
    </row>
    <row r="459" spans="1:35" x14ac:dyDescent="0.2">
      <c r="A459" s="4"/>
      <c r="B459" s="17">
        <v>451</v>
      </c>
      <c r="C459" s="41" t="s">
        <v>926</v>
      </c>
      <c r="D459" s="53"/>
      <c r="E459" s="15" t="s">
        <v>927</v>
      </c>
      <c r="F459" s="30"/>
      <c r="G459" s="31"/>
      <c r="H459" s="30"/>
      <c r="I459" s="58"/>
      <c r="J459" s="30"/>
      <c r="K459" s="58"/>
      <c r="L459" s="30"/>
      <c r="M459" s="58"/>
      <c r="N459" s="30"/>
      <c r="O459" s="58"/>
      <c r="P459" s="30"/>
      <c r="Q459" s="58"/>
      <c r="R459" s="30"/>
      <c r="S459" s="58"/>
      <c r="T459" s="30"/>
      <c r="U459" s="58"/>
      <c r="V459" s="30"/>
      <c r="W459" s="58"/>
      <c r="X459" s="30"/>
      <c r="Y459" s="58"/>
      <c r="Z459" s="30"/>
      <c r="AA459" s="58"/>
      <c r="AB459" s="30"/>
      <c r="AC459" s="58"/>
      <c r="AD459" s="30"/>
      <c r="AE459" s="58"/>
      <c r="AF459" s="55">
        <v>33000</v>
      </c>
      <c r="AG459" s="12">
        <f>+F459++H459++J459++L459++N459++P459++R459++T459++V459++X459++Z459++AB459++AD459+0</f>
        <v>0</v>
      </c>
      <c r="AH459" s="11">
        <f>G459+I459+K459+M459+O459+Q459+S459+U459+W459+Y459+AA459+AC459+AE459+0</f>
        <v>0</v>
      </c>
      <c r="AI459" s="6"/>
    </row>
    <row r="460" spans="1:35" x14ac:dyDescent="0.2">
      <c r="A460" s="4"/>
      <c r="B460" s="17">
        <v>452</v>
      </c>
      <c r="C460" s="41" t="s">
        <v>928</v>
      </c>
      <c r="D460" s="53"/>
      <c r="E460" s="15" t="s">
        <v>929</v>
      </c>
      <c r="F460" s="30"/>
      <c r="G460" s="31"/>
      <c r="H460" s="30"/>
      <c r="I460" s="58"/>
      <c r="J460" s="30"/>
      <c r="K460" s="58"/>
      <c r="L460" s="30"/>
      <c r="M460" s="58"/>
      <c r="N460" s="30"/>
      <c r="O460" s="58"/>
      <c r="P460" s="30"/>
      <c r="Q460" s="58"/>
      <c r="R460" s="30"/>
      <c r="S460" s="58"/>
      <c r="T460" s="30"/>
      <c r="U460" s="58"/>
      <c r="V460" s="30"/>
      <c r="W460" s="58"/>
      <c r="X460" s="30"/>
      <c r="Y460" s="58"/>
      <c r="Z460" s="30"/>
      <c r="AA460" s="58"/>
      <c r="AB460" s="30"/>
      <c r="AC460" s="58"/>
      <c r="AD460" s="30"/>
      <c r="AE460" s="58"/>
      <c r="AF460" s="55">
        <v>15000</v>
      </c>
      <c r="AG460" s="12">
        <f>+F460++H460++J460++L460++N460++P460++R460++T460++V460++X460++Z460++AB460++AD460+0</f>
        <v>0</v>
      </c>
      <c r="AH460" s="11">
        <f>G460+I460+K460+M460+O460+Q460+S460+U460+W460+Y460+AA460+AC460+AE460+0</f>
        <v>0</v>
      </c>
      <c r="AI460" s="6"/>
    </row>
    <row r="461" spans="1:35" x14ac:dyDescent="0.2">
      <c r="A461" s="4"/>
      <c r="B461" s="17">
        <v>453</v>
      </c>
      <c r="C461" s="41" t="s">
        <v>930</v>
      </c>
      <c r="D461" s="53"/>
      <c r="E461" s="15" t="s">
        <v>931</v>
      </c>
      <c r="F461" s="30"/>
      <c r="G461" s="31"/>
      <c r="H461" s="30"/>
      <c r="I461" s="58"/>
      <c r="J461" s="30"/>
      <c r="K461" s="58"/>
      <c r="L461" s="30"/>
      <c r="M461" s="58"/>
      <c r="N461" s="30"/>
      <c r="O461" s="58"/>
      <c r="P461" s="30"/>
      <c r="Q461" s="58"/>
      <c r="R461" s="30"/>
      <c r="S461" s="58"/>
      <c r="T461" s="30"/>
      <c r="U461" s="58"/>
      <c r="V461" s="30"/>
      <c r="W461" s="58"/>
      <c r="X461" s="30"/>
      <c r="Y461" s="58"/>
      <c r="Z461" s="30"/>
      <c r="AA461" s="58"/>
      <c r="AB461" s="30"/>
      <c r="AC461" s="58"/>
      <c r="AD461" s="30"/>
      <c r="AE461" s="58"/>
      <c r="AF461" s="55">
        <v>32000</v>
      </c>
      <c r="AG461" s="12">
        <f>+F461++H461++J461++L461++N461++P461++R461++T461++V461++X461++Z461++AB461++AD461+0</f>
        <v>0</v>
      </c>
      <c r="AH461" s="11">
        <f>G461+I461+K461+M461+O461+Q461+S461+U461+W461+Y461+AA461+AC461+AE461+0</f>
        <v>0</v>
      </c>
      <c r="AI461" s="6"/>
    </row>
    <row r="462" spans="1:35" x14ac:dyDescent="0.2">
      <c r="A462" s="4"/>
      <c r="B462" s="17">
        <v>454</v>
      </c>
      <c r="C462" s="41" t="s">
        <v>932</v>
      </c>
      <c r="D462" s="53"/>
      <c r="E462" s="15" t="s">
        <v>933</v>
      </c>
      <c r="F462" s="30"/>
      <c r="G462" s="31"/>
      <c r="H462" s="30"/>
      <c r="I462" s="58"/>
      <c r="J462" s="30"/>
      <c r="K462" s="58"/>
      <c r="L462" s="30"/>
      <c r="M462" s="58"/>
      <c r="N462" s="30"/>
      <c r="O462" s="58"/>
      <c r="P462" s="30"/>
      <c r="Q462" s="58"/>
      <c r="R462" s="30"/>
      <c r="S462" s="58"/>
      <c r="T462" s="30"/>
      <c r="U462" s="58"/>
      <c r="V462" s="30"/>
      <c r="W462" s="58"/>
      <c r="X462" s="30"/>
      <c r="Y462" s="58"/>
      <c r="Z462" s="30"/>
      <c r="AA462" s="58"/>
      <c r="AB462" s="30"/>
      <c r="AC462" s="58"/>
      <c r="AD462" s="30"/>
      <c r="AE462" s="58"/>
      <c r="AF462" s="55">
        <v>30000</v>
      </c>
      <c r="AG462" s="12">
        <f>+F462++H462++J462++L462++N462++P462++R462++T462++V462++X462++Z462++AB462++AD462+0</f>
        <v>0</v>
      </c>
      <c r="AH462" s="11">
        <f>G462+I462+K462+M462+O462+Q462+S462+U462+W462+Y462+AA462+AC462+AE462+0</f>
        <v>0</v>
      </c>
      <c r="AI462" s="6"/>
    </row>
    <row r="463" spans="1:35" x14ac:dyDescent="0.2">
      <c r="A463" s="4"/>
      <c r="B463" s="17">
        <v>455</v>
      </c>
      <c r="C463" s="41" t="s">
        <v>934</v>
      </c>
      <c r="D463" s="53"/>
      <c r="E463" s="15" t="s">
        <v>935</v>
      </c>
      <c r="F463" s="30"/>
      <c r="G463" s="31"/>
      <c r="H463" s="30"/>
      <c r="I463" s="58"/>
      <c r="J463" s="30"/>
      <c r="K463" s="58"/>
      <c r="L463" s="30"/>
      <c r="M463" s="58"/>
      <c r="N463" s="30"/>
      <c r="O463" s="58"/>
      <c r="P463" s="30"/>
      <c r="Q463" s="58"/>
      <c r="R463" s="30"/>
      <c r="S463" s="58"/>
      <c r="T463" s="30"/>
      <c r="U463" s="58"/>
      <c r="V463" s="30"/>
      <c r="W463" s="58"/>
      <c r="X463" s="30"/>
      <c r="Y463" s="58"/>
      <c r="Z463" s="30"/>
      <c r="AA463" s="58"/>
      <c r="AB463" s="30"/>
      <c r="AC463" s="58"/>
      <c r="AD463" s="30"/>
      <c r="AE463" s="58"/>
      <c r="AF463" s="55">
        <v>50000</v>
      </c>
      <c r="AG463" s="12">
        <f>+F463++H463++J463++L463++N463++P463++R463++T463++V463++X463++Z463++AB463++AD463+0</f>
        <v>0</v>
      </c>
      <c r="AH463" s="11">
        <f>G463+I463+K463+M463+O463+Q463+S463+U463+W463+Y463+AA463+AC463+AE463+0</f>
        <v>0</v>
      </c>
      <c r="AI463" s="6"/>
    </row>
    <row r="464" spans="1:35" x14ac:dyDescent="0.2">
      <c r="A464" s="4"/>
      <c r="B464" s="17">
        <v>456</v>
      </c>
      <c r="C464" s="41" t="s">
        <v>936</v>
      </c>
      <c r="D464" s="53"/>
      <c r="E464" s="15" t="s">
        <v>937</v>
      </c>
      <c r="F464" s="30"/>
      <c r="G464" s="31"/>
      <c r="H464" s="30"/>
      <c r="I464" s="58"/>
      <c r="J464" s="30"/>
      <c r="K464" s="58"/>
      <c r="L464" s="30"/>
      <c r="M464" s="58"/>
      <c r="N464" s="30"/>
      <c r="O464" s="58"/>
      <c r="P464" s="30"/>
      <c r="Q464" s="58"/>
      <c r="R464" s="30"/>
      <c r="S464" s="58"/>
      <c r="T464" s="30"/>
      <c r="U464" s="58"/>
      <c r="V464" s="30"/>
      <c r="W464" s="58"/>
      <c r="X464" s="30"/>
      <c r="Y464" s="58"/>
      <c r="Z464" s="30"/>
      <c r="AA464" s="58"/>
      <c r="AB464" s="30"/>
      <c r="AC464" s="58"/>
      <c r="AD464" s="30"/>
      <c r="AE464" s="58"/>
      <c r="AF464" s="55">
        <v>200000</v>
      </c>
      <c r="AG464" s="12">
        <f>+F464++H464++J464++L464++N464++P464++R464++T464++V464++X464++Z464++AB464++AD464+0</f>
        <v>0</v>
      </c>
      <c r="AH464" s="11">
        <f>G464+I464+K464+M464+O464+Q464+S464+U464+W464+Y464+AA464+AC464+AE464+0</f>
        <v>0</v>
      </c>
      <c r="AI464" s="6"/>
    </row>
    <row r="465" spans="1:35" x14ac:dyDescent="0.2">
      <c r="A465" s="4"/>
      <c r="B465" s="17">
        <v>457</v>
      </c>
      <c r="C465" s="41" t="s">
        <v>938</v>
      </c>
      <c r="D465" s="53"/>
      <c r="E465" s="15" t="s">
        <v>939</v>
      </c>
      <c r="F465" s="30"/>
      <c r="G465" s="31"/>
      <c r="H465" s="30"/>
      <c r="I465" s="58"/>
      <c r="J465" s="30"/>
      <c r="K465" s="58"/>
      <c r="L465" s="30"/>
      <c r="M465" s="58"/>
      <c r="N465" s="30"/>
      <c r="O465" s="58"/>
      <c r="P465" s="30"/>
      <c r="Q465" s="58"/>
      <c r="R465" s="30"/>
      <c r="S465" s="58"/>
      <c r="T465" s="30"/>
      <c r="U465" s="58"/>
      <c r="V465" s="30"/>
      <c r="W465" s="58"/>
      <c r="X465" s="30"/>
      <c r="Y465" s="58"/>
      <c r="Z465" s="30"/>
      <c r="AA465" s="58"/>
      <c r="AB465" s="30"/>
      <c r="AC465" s="58"/>
      <c r="AD465" s="30"/>
      <c r="AE465" s="58"/>
      <c r="AF465" s="55">
        <v>30000</v>
      </c>
      <c r="AG465" s="12">
        <f>+F465++H465++J465++L465++N465++P465++R465++T465++V465++X465++Z465++AB465++AD465+0</f>
        <v>0</v>
      </c>
      <c r="AH465" s="11">
        <f>G465+I465+K465+M465+O465+Q465+S465+U465+W465+Y465+AA465+AC465+AE465+0</f>
        <v>0</v>
      </c>
      <c r="AI465" s="6"/>
    </row>
    <row r="466" spans="1:35" x14ac:dyDescent="0.2">
      <c r="A466" s="4"/>
      <c r="B466" s="17">
        <v>458</v>
      </c>
      <c r="C466" s="41" t="s">
        <v>940</v>
      </c>
      <c r="D466" s="53"/>
      <c r="E466" s="15" t="s">
        <v>941</v>
      </c>
      <c r="F466" s="30"/>
      <c r="G466" s="31"/>
      <c r="H466" s="30"/>
      <c r="I466" s="58"/>
      <c r="J466" s="30"/>
      <c r="K466" s="58"/>
      <c r="L466" s="30"/>
      <c r="M466" s="58"/>
      <c r="N466" s="30"/>
      <c r="O466" s="58"/>
      <c r="P466" s="30"/>
      <c r="Q466" s="58"/>
      <c r="R466" s="30"/>
      <c r="S466" s="58"/>
      <c r="T466" s="30"/>
      <c r="U466" s="58"/>
      <c r="V466" s="30"/>
      <c r="W466" s="58"/>
      <c r="X466" s="30"/>
      <c r="Y466" s="58"/>
      <c r="Z466" s="30"/>
      <c r="AA466" s="58"/>
      <c r="AB466" s="30"/>
      <c r="AC466" s="58"/>
      <c r="AD466" s="30"/>
      <c r="AE466" s="58"/>
      <c r="AF466" s="55">
        <v>100000</v>
      </c>
      <c r="AG466" s="12">
        <f>+F466++H466++J466++L466++N466++P466++R466++T466++V466++X466++Z466++AB466++AD466+0</f>
        <v>0</v>
      </c>
      <c r="AH466" s="11">
        <f>G466+I466+K466+M466+O466+Q466+S466+U466+W466+Y466+AA466+AC466+AE466+0</f>
        <v>0</v>
      </c>
      <c r="AI466" s="6"/>
    </row>
    <row r="467" spans="1:35" x14ac:dyDescent="0.2">
      <c r="A467" s="4"/>
      <c r="B467" s="17">
        <v>459</v>
      </c>
      <c r="C467" s="41" t="s">
        <v>942</v>
      </c>
      <c r="D467" s="53"/>
      <c r="E467" s="15" t="s">
        <v>943</v>
      </c>
      <c r="F467" s="30"/>
      <c r="G467" s="31"/>
      <c r="H467" s="30"/>
      <c r="I467" s="58"/>
      <c r="J467" s="30"/>
      <c r="K467" s="58"/>
      <c r="L467" s="30"/>
      <c r="M467" s="58"/>
      <c r="N467" s="30"/>
      <c r="O467" s="58"/>
      <c r="P467" s="30"/>
      <c r="Q467" s="58"/>
      <c r="R467" s="30"/>
      <c r="S467" s="58"/>
      <c r="T467" s="30"/>
      <c r="U467" s="58"/>
      <c r="V467" s="30"/>
      <c r="W467" s="58"/>
      <c r="X467" s="30"/>
      <c r="Y467" s="58"/>
      <c r="Z467" s="30"/>
      <c r="AA467" s="58"/>
      <c r="AB467" s="30"/>
      <c r="AC467" s="58"/>
      <c r="AD467" s="30"/>
      <c r="AE467" s="58"/>
      <c r="AF467" s="55">
        <v>30000</v>
      </c>
      <c r="AG467" s="12">
        <f>+F467++H467++J467++L467++N467++P467++R467++T467++V467++X467++Z467++AB467++AD467+0</f>
        <v>0</v>
      </c>
      <c r="AH467" s="11">
        <f>G467+I467+K467+M467+O467+Q467+S467+U467+W467+Y467+AA467+AC467+AE467+0</f>
        <v>0</v>
      </c>
      <c r="AI467" s="6"/>
    </row>
    <row r="468" spans="1:35" x14ac:dyDescent="0.2">
      <c r="A468" s="4"/>
      <c r="B468" s="17">
        <v>460</v>
      </c>
      <c r="C468" s="41" t="s">
        <v>944</v>
      </c>
      <c r="D468" s="53"/>
      <c r="E468" s="15" t="s">
        <v>945</v>
      </c>
      <c r="F468" s="30"/>
      <c r="G468" s="31"/>
      <c r="H468" s="30"/>
      <c r="I468" s="58"/>
      <c r="J468" s="30"/>
      <c r="K468" s="58"/>
      <c r="L468" s="30"/>
      <c r="M468" s="58"/>
      <c r="N468" s="30"/>
      <c r="O468" s="58"/>
      <c r="P468" s="30"/>
      <c r="Q468" s="58"/>
      <c r="R468" s="30"/>
      <c r="S468" s="58"/>
      <c r="T468" s="30"/>
      <c r="U468" s="58"/>
      <c r="V468" s="30"/>
      <c r="W468" s="58"/>
      <c r="X468" s="30"/>
      <c r="Y468" s="58"/>
      <c r="Z468" s="30"/>
      <c r="AA468" s="58"/>
      <c r="AB468" s="30"/>
      <c r="AC468" s="58"/>
      <c r="AD468" s="30"/>
      <c r="AE468" s="58"/>
      <c r="AF468" s="55">
        <v>120000</v>
      </c>
      <c r="AG468" s="12">
        <f>+F468++H468++J468++L468++N468++P468++R468++T468++V468++X468++Z468++AB468++AD468+0</f>
        <v>0</v>
      </c>
      <c r="AH468" s="11">
        <f>G468+I468+K468+M468+O468+Q468+S468+U468+W468+Y468+AA468+AC468+AE468+0</f>
        <v>0</v>
      </c>
      <c r="AI468" s="6"/>
    </row>
    <row r="469" spans="1:35" x14ac:dyDescent="0.2">
      <c r="A469" s="4"/>
      <c r="B469" s="17">
        <v>461</v>
      </c>
      <c r="C469" s="41" t="s">
        <v>946</v>
      </c>
      <c r="D469" s="53"/>
      <c r="E469" s="15" t="s">
        <v>947</v>
      </c>
      <c r="F469" s="30"/>
      <c r="G469" s="31"/>
      <c r="H469" s="30"/>
      <c r="I469" s="58"/>
      <c r="J469" s="30"/>
      <c r="K469" s="58"/>
      <c r="L469" s="30"/>
      <c r="M469" s="58"/>
      <c r="N469" s="30"/>
      <c r="O469" s="58"/>
      <c r="P469" s="30"/>
      <c r="Q469" s="58"/>
      <c r="R469" s="30"/>
      <c r="S469" s="58"/>
      <c r="T469" s="30"/>
      <c r="U469" s="58"/>
      <c r="V469" s="30"/>
      <c r="W469" s="58"/>
      <c r="X469" s="30"/>
      <c r="Y469" s="58"/>
      <c r="Z469" s="30"/>
      <c r="AA469" s="58"/>
      <c r="AB469" s="30"/>
      <c r="AC469" s="58"/>
      <c r="AD469" s="30"/>
      <c r="AE469" s="58"/>
      <c r="AF469" s="55">
        <v>40000</v>
      </c>
      <c r="AG469" s="12">
        <f>+F469++H469++J469++L469++N469++P469++R469++T469++V469++X469++Z469++AB469++AD469+0</f>
        <v>0</v>
      </c>
      <c r="AH469" s="11">
        <f>G469+I469+K469+M469+O469+Q469+S469+U469+W469+Y469+AA469+AC469+AE469+0</f>
        <v>0</v>
      </c>
      <c r="AI469" s="6"/>
    </row>
    <row r="470" spans="1:35" x14ac:dyDescent="0.2">
      <c r="A470" s="4"/>
      <c r="B470" s="17">
        <v>462</v>
      </c>
      <c r="C470" s="41" t="s">
        <v>948</v>
      </c>
      <c r="D470" s="53"/>
      <c r="E470" s="15" t="s">
        <v>949</v>
      </c>
      <c r="F470" s="30"/>
      <c r="G470" s="31"/>
      <c r="H470" s="30"/>
      <c r="I470" s="58"/>
      <c r="J470" s="30"/>
      <c r="K470" s="58"/>
      <c r="L470" s="30"/>
      <c r="M470" s="58"/>
      <c r="N470" s="30"/>
      <c r="O470" s="58"/>
      <c r="P470" s="30"/>
      <c r="Q470" s="58"/>
      <c r="R470" s="30"/>
      <c r="S470" s="58"/>
      <c r="T470" s="30"/>
      <c r="U470" s="58"/>
      <c r="V470" s="30"/>
      <c r="W470" s="58"/>
      <c r="X470" s="30"/>
      <c r="Y470" s="58"/>
      <c r="Z470" s="30"/>
      <c r="AA470" s="58"/>
      <c r="AB470" s="30"/>
      <c r="AC470" s="58"/>
      <c r="AD470" s="30"/>
      <c r="AE470" s="58"/>
      <c r="AF470" s="55">
        <v>25000</v>
      </c>
      <c r="AG470" s="12">
        <f>+F470++H470++J470++L470++N470++P470++R470++T470++V470++X470++Z470++AB470++AD470+0</f>
        <v>0</v>
      </c>
      <c r="AH470" s="11">
        <f>G470+I470+K470+M470+O470+Q470+S470+U470+W470+Y470+AA470+AC470+AE470+0</f>
        <v>0</v>
      </c>
      <c r="AI470" s="6"/>
    </row>
    <row r="471" spans="1:35" x14ac:dyDescent="0.2">
      <c r="A471" s="4"/>
      <c r="B471" s="17">
        <v>463</v>
      </c>
      <c r="C471" s="41" t="s">
        <v>950</v>
      </c>
      <c r="D471" s="53"/>
      <c r="E471" s="15" t="s">
        <v>951</v>
      </c>
      <c r="F471" s="30"/>
      <c r="G471" s="31"/>
      <c r="H471" s="30"/>
      <c r="I471" s="58"/>
      <c r="J471" s="30"/>
      <c r="K471" s="58"/>
      <c r="L471" s="30"/>
      <c r="M471" s="58"/>
      <c r="N471" s="30"/>
      <c r="O471" s="58"/>
      <c r="P471" s="30"/>
      <c r="Q471" s="58"/>
      <c r="R471" s="30"/>
      <c r="S471" s="58"/>
      <c r="T471" s="30"/>
      <c r="U471" s="58"/>
      <c r="V471" s="30"/>
      <c r="W471" s="58"/>
      <c r="X471" s="30"/>
      <c r="Y471" s="58"/>
      <c r="Z471" s="30"/>
      <c r="AA471" s="58"/>
      <c r="AB471" s="30"/>
      <c r="AC471" s="58"/>
      <c r="AD471" s="30"/>
      <c r="AE471" s="58"/>
      <c r="AF471" s="55">
        <v>30000</v>
      </c>
      <c r="AG471" s="12">
        <f>+F471++H471++J471++L471++N471++P471++R471++T471++V471++X471++Z471++AB471++AD471+0</f>
        <v>0</v>
      </c>
      <c r="AH471" s="11">
        <f>G471+I471+K471+M471+O471+Q471+S471+U471+W471+Y471+AA471+AC471+AE471+0</f>
        <v>0</v>
      </c>
      <c r="AI471" s="6"/>
    </row>
    <row r="472" spans="1:35" x14ac:dyDescent="0.2">
      <c r="A472" s="4"/>
      <c r="B472" s="17">
        <v>464</v>
      </c>
      <c r="C472" s="41" t="s">
        <v>952</v>
      </c>
      <c r="D472" s="53"/>
      <c r="E472" s="15" t="s">
        <v>953</v>
      </c>
      <c r="F472" s="30"/>
      <c r="G472" s="31"/>
      <c r="H472" s="30"/>
      <c r="I472" s="58"/>
      <c r="J472" s="30"/>
      <c r="K472" s="58"/>
      <c r="L472" s="30"/>
      <c r="M472" s="58"/>
      <c r="N472" s="30"/>
      <c r="O472" s="58"/>
      <c r="P472" s="30"/>
      <c r="Q472" s="58"/>
      <c r="R472" s="30"/>
      <c r="S472" s="58"/>
      <c r="T472" s="30"/>
      <c r="U472" s="58"/>
      <c r="V472" s="30"/>
      <c r="W472" s="58"/>
      <c r="X472" s="30"/>
      <c r="Y472" s="58"/>
      <c r="Z472" s="30"/>
      <c r="AA472" s="58"/>
      <c r="AB472" s="30"/>
      <c r="AC472" s="58"/>
      <c r="AD472" s="30"/>
      <c r="AE472" s="58"/>
      <c r="AF472" s="55">
        <v>30000</v>
      </c>
      <c r="AG472" s="12">
        <f>+F472++H472++J472++L472++N472++P472++R472++T472++V472++X472++Z472++AB472++AD472+0</f>
        <v>0</v>
      </c>
      <c r="AH472" s="11">
        <f>G472+I472+K472+M472+O472+Q472+S472+U472+W472+Y472+AA472+AC472+AE472+0</f>
        <v>0</v>
      </c>
      <c r="AI472" s="6"/>
    </row>
    <row r="473" spans="1:35" x14ac:dyDescent="0.2">
      <c r="A473" s="4"/>
      <c r="B473" s="17">
        <v>465</v>
      </c>
      <c r="C473" s="41" t="s">
        <v>954</v>
      </c>
      <c r="D473" s="53"/>
      <c r="E473" s="15" t="s">
        <v>955</v>
      </c>
      <c r="F473" s="30"/>
      <c r="G473" s="31"/>
      <c r="H473" s="30"/>
      <c r="I473" s="58"/>
      <c r="J473" s="30"/>
      <c r="K473" s="58"/>
      <c r="L473" s="30"/>
      <c r="M473" s="58"/>
      <c r="N473" s="30"/>
      <c r="O473" s="58"/>
      <c r="P473" s="30"/>
      <c r="Q473" s="58"/>
      <c r="R473" s="30"/>
      <c r="S473" s="58"/>
      <c r="T473" s="30"/>
      <c r="U473" s="58"/>
      <c r="V473" s="30"/>
      <c r="W473" s="58"/>
      <c r="X473" s="30"/>
      <c r="Y473" s="58"/>
      <c r="Z473" s="30"/>
      <c r="AA473" s="58"/>
      <c r="AB473" s="30"/>
      <c r="AC473" s="58"/>
      <c r="AD473" s="30"/>
      <c r="AE473" s="58"/>
      <c r="AF473" s="55">
        <v>50000</v>
      </c>
      <c r="AG473" s="12">
        <f>+F473++H473++J473++L473++N473++P473++R473++T473++V473++X473++Z473++AB473++AD473+0</f>
        <v>0</v>
      </c>
      <c r="AH473" s="11">
        <f>G473+I473+K473+M473+O473+Q473+S473+U473+W473+Y473+AA473+AC473+AE473+0</f>
        <v>0</v>
      </c>
      <c r="AI473" s="6"/>
    </row>
    <row r="474" spans="1:35" x14ac:dyDescent="0.2">
      <c r="A474" s="4"/>
      <c r="B474" s="17">
        <v>466</v>
      </c>
      <c r="C474" s="41" t="s">
        <v>956</v>
      </c>
      <c r="D474" s="53"/>
      <c r="E474" s="15" t="s">
        <v>957</v>
      </c>
      <c r="F474" s="30"/>
      <c r="G474" s="31"/>
      <c r="H474" s="30"/>
      <c r="I474" s="58"/>
      <c r="J474" s="30"/>
      <c r="K474" s="58"/>
      <c r="L474" s="30"/>
      <c r="M474" s="58"/>
      <c r="N474" s="30"/>
      <c r="O474" s="58"/>
      <c r="P474" s="30"/>
      <c r="Q474" s="58"/>
      <c r="R474" s="30"/>
      <c r="S474" s="58"/>
      <c r="T474" s="30"/>
      <c r="U474" s="58"/>
      <c r="V474" s="30"/>
      <c r="W474" s="58"/>
      <c r="X474" s="30"/>
      <c r="Y474" s="58"/>
      <c r="Z474" s="30"/>
      <c r="AA474" s="58"/>
      <c r="AB474" s="30"/>
      <c r="AC474" s="58"/>
      <c r="AD474" s="30"/>
      <c r="AE474" s="58"/>
      <c r="AF474" s="55">
        <v>50000</v>
      </c>
      <c r="AG474" s="12">
        <f>+F474++H474++J474++L474++N474++P474++R474++T474++V474++X474++Z474++AB474++AD474+0</f>
        <v>0</v>
      </c>
      <c r="AH474" s="11">
        <f>G474+I474+K474+M474+O474+Q474+S474+U474+W474+Y474+AA474+AC474+AE474+0</f>
        <v>0</v>
      </c>
      <c r="AI474" s="6"/>
    </row>
    <row r="475" spans="1:35" x14ac:dyDescent="0.2">
      <c r="A475" s="4"/>
      <c r="B475" s="17">
        <v>467</v>
      </c>
      <c r="C475" s="41" t="s">
        <v>958</v>
      </c>
      <c r="D475" s="53"/>
      <c r="E475" s="15" t="s">
        <v>959</v>
      </c>
      <c r="F475" s="30"/>
      <c r="G475" s="31"/>
      <c r="H475" s="30"/>
      <c r="I475" s="58"/>
      <c r="J475" s="30"/>
      <c r="K475" s="58"/>
      <c r="L475" s="30"/>
      <c r="M475" s="58"/>
      <c r="N475" s="30"/>
      <c r="O475" s="58"/>
      <c r="P475" s="30"/>
      <c r="Q475" s="58"/>
      <c r="R475" s="30"/>
      <c r="S475" s="58"/>
      <c r="T475" s="30"/>
      <c r="U475" s="58"/>
      <c r="V475" s="30"/>
      <c r="W475" s="58"/>
      <c r="X475" s="30"/>
      <c r="Y475" s="58"/>
      <c r="Z475" s="30"/>
      <c r="AA475" s="58"/>
      <c r="AB475" s="30"/>
      <c r="AC475" s="58"/>
      <c r="AD475" s="30"/>
      <c r="AE475" s="58"/>
      <c r="AF475" s="55">
        <v>20000</v>
      </c>
      <c r="AG475" s="12">
        <f>+F475++H475++J475++L475++N475++P475++R475++T475++V475++X475++Z475++AB475++AD475+0</f>
        <v>0</v>
      </c>
      <c r="AH475" s="11">
        <f>G475+I475+K475+M475+O475+Q475+S475+U475+W475+Y475+AA475+AC475+AE475+0</f>
        <v>0</v>
      </c>
      <c r="AI475" s="6"/>
    </row>
    <row r="476" spans="1:35" x14ac:dyDescent="0.2">
      <c r="A476" s="4"/>
      <c r="B476" s="17">
        <v>468</v>
      </c>
      <c r="C476" s="41" t="s">
        <v>960</v>
      </c>
      <c r="D476" s="53"/>
      <c r="E476" s="15" t="s">
        <v>961</v>
      </c>
      <c r="F476" s="30"/>
      <c r="G476" s="31"/>
      <c r="H476" s="30"/>
      <c r="I476" s="58"/>
      <c r="J476" s="30"/>
      <c r="K476" s="58"/>
      <c r="L476" s="30"/>
      <c r="M476" s="58"/>
      <c r="N476" s="30"/>
      <c r="O476" s="58"/>
      <c r="P476" s="30"/>
      <c r="Q476" s="58"/>
      <c r="R476" s="30"/>
      <c r="S476" s="58"/>
      <c r="T476" s="30"/>
      <c r="U476" s="58"/>
      <c r="V476" s="30"/>
      <c r="W476" s="58"/>
      <c r="X476" s="30"/>
      <c r="Y476" s="58"/>
      <c r="Z476" s="30"/>
      <c r="AA476" s="58"/>
      <c r="AB476" s="30"/>
      <c r="AC476" s="58"/>
      <c r="AD476" s="30"/>
      <c r="AE476" s="58"/>
      <c r="AF476" s="55">
        <v>14500</v>
      </c>
      <c r="AG476" s="12">
        <f>+F476++H476++J476++L476++N476++P476++R476++T476++V476++X476++Z476++AB476++AD476+0</f>
        <v>0</v>
      </c>
      <c r="AH476" s="11">
        <f>G476+I476+K476+M476+O476+Q476+S476+U476+W476+Y476+AA476+AC476+AE476+0</f>
        <v>0</v>
      </c>
      <c r="AI476" s="6"/>
    </row>
    <row r="477" spans="1:35" x14ac:dyDescent="0.2">
      <c r="A477" s="4"/>
      <c r="B477" s="17">
        <v>469</v>
      </c>
      <c r="C477" s="41" t="s">
        <v>962</v>
      </c>
      <c r="D477" s="53"/>
      <c r="E477" s="15" t="s">
        <v>963</v>
      </c>
      <c r="F477" s="30"/>
      <c r="G477" s="31"/>
      <c r="H477" s="30"/>
      <c r="I477" s="58"/>
      <c r="J477" s="30"/>
      <c r="K477" s="58"/>
      <c r="L477" s="30"/>
      <c r="M477" s="58"/>
      <c r="N477" s="30"/>
      <c r="O477" s="58"/>
      <c r="P477" s="30"/>
      <c r="Q477" s="58"/>
      <c r="R477" s="30"/>
      <c r="S477" s="58"/>
      <c r="T477" s="30"/>
      <c r="U477" s="58"/>
      <c r="V477" s="30"/>
      <c r="W477" s="58"/>
      <c r="X477" s="30"/>
      <c r="Y477" s="58"/>
      <c r="Z477" s="30"/>
      <c r="AA477" s="58"/>
      <c r="AB477" s="30"/>
      <c r="AC477" s="58"/>
      <c r="AD477" s="30"/>
      <c r="AE477" s="58"/>
      <c r="AF477" s="55">
        <v>50000</v>
      </c>
      <c r="AG477" s="12">
        <f>+F477++H477++J477++L477++N477++P477++R477++T477++V477++X477++Z477++AB477++AD477+0</f>
        <v>0</v>
      </c>
      <c r="AH477" s="11">
        <f>G477+I477+K477+M477+O477+Q477+S477+U477+W477+Y477+AA477+AC477+AE477+0</f>
        <v>0</v>
      </c>
      <c r="AI477" s="6"/>
    </row>
    <row r="478" spans="1:35" x14ac:dyDescent="0.2">
      <c r="A478" s="4"/>
      <c r="B478" s="17">
        <v>470</v>
      </c>
      <c r="C478" s="41" t="s">
        <v>964</v>
      </c>
      <c r="D478" s="53"/>
      <c r="E478" s="15" t="s">
        <v>965</v>
      </c>
      <c r="F478" s="30"/>
      <c r="G478" s="31"/>
      <c r="H478" s="30"/>
      <c r="I478" s="58"/>
      <c r="J478" s="30"/>
      <c r="K478" s="58"/>
      <c r="L478" s="30"/>
      <c r="M478" s="58"/>
      <c r="N478" s="30"/>
      <c r="O478" s="58"/>
      <c r="P478" s="30"/>
      <c r="Q478" s="58"/>
      <c r="R478" s="30"/>
      <c r="S478" s="58"/>
      <c r="T478" s="30"/>
      <c r="U478" s="58"/>
      <c r="V478" s="30"/>
      <c r="W478" s="58"/>
      <c r="X478" s="30"/>
      <c r="Y478" s="58"/>
      <c r="Z478" s="30"/>
      <c r="AA478" s="58"/>
      <c r="AB478" s="30"/>
      <c r="AC478" s="58"/>
      <c r="AD478" s="30"/>
      <c r="AE478" s="58"/>
      <c r="AF478" s="55">
        <v>200000</v>
      </c>
      <c r="AG478" s="12">
        <f>+F478++H478++J478++L478++N478++P478++R478++T478++V478++X478++Z478++AB478++AD478+0</f>
        <v>0</v>
      </c>
      <c r="AH478" s="11">
        <f>G478+I478+K478+M478+O478+Q478+S478+U478+W478+Y478+AA478+AC478+AE478+0</f>
        <v>0</v>
      </c>
      <c r="AI478" s="6"/>
    </row>
    <row r="479" spans="1:35" x14ac:dyDescent="0.2">
      <c r="A479" s="4"/>
      <c r="B479" s="17">
        <v>471</v>
      </c>
      <c r="C479" s="41" t="s">
        <v>966</v>
      </c>
      <c r="D479" s="53"/>
      <c r="E479" s="15" t="s">
        <v>967</v>
      </c>
      <c r="F479" s="30"/>
      <c r="G479" s="31"/>
      <c r="H479" s="30"/>
      <c r="I479" s="58"/>
      <c r="J479" s="30"/>
      <c r="K479" s="58"/>
      <c r="L479" s="30"/>
      <c r="M479" s="58"/>
      <c r="N479" s="30"/>
      <c r="O479" s="58"/>
      <c r="P479" s="30"/>
      <c r="Q479" s="58"/>
      <c r="R479" s="30"/>
      <c r="S479" s="58"/>
      <c r="T479" s="30"/>
      <c r="U479" s="58"/>
      <c r="V479" s="30"/>
      <c r="W479" s="58"/>
      <c r="X479" s="30"/>
      <c r="Y479" s="58"/>
      <c r="Z479" s="30"/>
      <c r="AA479" s="58"/>
      <c r="AB479" s="30"/>
      <c r="AC479" s="58"/>
      <c r="AD479" s="30"/>
      <c r="AE479" s="58"/>
      <c r="AF479" s="55">
        <v>10000</v>
      </c>
      <c r="AG479" s="12">
        <f>+F479++H479++J479++L479++N479++P479++R479++T479++V479++X479++Z479++AB479++AD479+0</f>
        <v>0</v>
      </c>
      <c r="AH479" s="11">
        <f>G479+I479+K479+M479+O479+Q479+S479+U479+W479+Y479+AA479+AC479+AE479+0</f>
        <v>0</v>
      </c>
      <c r="AI479" s="6"/>
    </row>
    <row r="480" spans="1:35" x14ac:dyDescent="0.2">
      <c r="A480" s="4"/>
      <c r="B480" s="17">
        <v>472</v>
      </c>
      <c r="C480" s="41" t="s">
        <v>968</v>
      </c>
      <c r="D480" s="53"/>
      <c r="E480" s="15" t="s">
        <v>969</v>
      </c>
      <c r="F480" s="30"/>
      <c r="G480" s="31"/>
      <c r="H480" s="30"/>
      <c r="I480" s="58"/>
      <c r="J480" s="30"/>
      <c r="K480" s="58"/>
      <c r="L480" s="30"/>
      <c r="M480" s="58"/>
      <c r="N480" s="30"/>
      <c r="O480" s="58"/>
      <c r="P480" s="30"/>
      <c r="Q480" s="58"/>
      <c r="R480" s="30"/>
      <c r="S480" s="58"/>
      <c r="T480" s="30"/>
      <c r="U480" s="58"/>
      <c r="V480" s="30"/>
      <c r="W480" s="58"/>
      <c r="X480" s="30"/>
      <c r="Y480" s="58"/>
      <c r="Z480" s="30"/>
      <c r="AA480" s="58"/>
      <c r="AB480" s="30"/>
      <c r="AC480" s="58"/>
      <c r="AD480" s="30"/>
      <c r="AE480" s="58"/>
      <c r="AF480" s="55">
        <v>100000</v>
      </c>
      <c r="AG480" s="12">
        <f>+F480++H480++J480++L480++N480++P480++R480++T480++V480++X480++Z480++AB480++AD480+0</f>
        <v>0</v>
      </c>
      <c r="AH480" s="11">
        <f>G480+I480+K480+M480+O480+Q480+S480+U480+W480+Y480+AA480+AC480+AE480+0</f>
        <v>0</v>
      </c>
      <c r="AI480" s="6"/>
    </row>
    <row r="481" spans="1:35" x14ac:dyDescent="0.2">
      <c r="A481" s="4"/>
      <c r="B481" s="17">
        <v>473</v>
      </c>
      <c r="C481" s="41" t="s">
        <v>970</v>
      </c>
      <c r="D481" s="53"/>
      <c r="E481" s="15" t="s">
        <v>971</v>
      </c>
      <c r="F481" s="30"/>
      <c r="G481" s="31"/>
      <c r="H481" s="30"/>
      <c r="I481" s="58"/>
      <c r="J481" s="30"/>
      <c r="K481" s="58"/>
      <c r="L481" s="30"/>
      <c r="M481" s="58"/>
      <c r="N481" s="30"/>
      <c r="O481" s="58"/>
      <c r="P481" s="30"/>
      <c r="Q481" s="58"/>
      <c r="R481" s="30"/>
      <c r="S481" s="58"/>
      <c r="T481" s="30"/>
      <c r="U481" s="58"/>
      <c r="V481" s="30"/>
      <c r="W481" s="58"/>
      <c r="X481" s="30"/>
      <c r="Y481" s="58"/>
      <c r="Z481" s="30"/>
      <c r="AA481" s="58"/>
      <c r="AB481" s="30"/>
      <c r="AC481" s="58"/>
      <c r="AD481" s="30"/>
      <c r="AE481" s="58"/>
      <c r="AF481" s="55">
        <v>15000</v>
      </c>
      <c r="AG481" s="12">
        <f>+F481++H481++J481++L481++N481++P481++R481++T481++V481++X481++Z481++AB481++AD481+0</f>
        <v>0</v>
      </c>
      <c r="AH481" s="11">
        <f>G481+I481+K481+M481+O481+Q481+S481+U481+W481+Y481+AA481+AC481+AE481+0</f>
        <v>0</v>
      </c>
      <c r="AI481" s="6"/>
    </row>
    <row r="482" spans="1:35" x14ac:dyDescent="0.2">
      <c r="A482" s="4"/>
      <c r="B482" s="17">
        <v>474</v>
      </c>
      <c r="C482" s="41" t="s">
        <v>972</v>
      </c>
      <c r="D482" s="53"/>
      <c r="E482" s="15" t="s">
        <v>973</v>
      </c>
      <c r="F482" s="30"/>
      <c r="G482" s="31"/>
      <c r="H482" s="30"/>
      <c r="I482" s="58"/>
      <c r="J482" s="30"/>
      <c r="K482" s="58"/>
      <c r="L482" s="30"/>
      <c r="M482" s="58"/>
      <c r="N482" s="30"/>
      <c r="O482" s="58"/>
      <c r="P482" s="30"/>
      <c r="Q482" s="58"/>
      <c r="R482" s="30"/>
      <c r="S482" s="58"/>
      <c r="T482" s="30"/>
      <c r="U482" s="58"/>
      <c r="V482" s="30"/>
      <c r="W482" s="58"/>
      <c r="X482" s="30"/>
      <c r="Y482" s="58"/>
      <c r="Z482" s="30"/>
      <c r="AA482" s="58"/>
      <c r="AB482" s="30"/>
      <c r="AC482" s="58"/>
      <c r="AD482" s="30"/>
      <c r="AE482" s="58"/>
      <c r="AF482" s="55">
        <v>250000</v>
      </c>
      <c r="AG482" s="12">
        <f>+F482++H482++J482++L482++N482++P482++R482++T482++V482++X482++Z482++AB482++AD482+0</f>
        <v>0</v>
      </c>
      <c r="AH482" s="11">
        <f>G482+I482+K482+M482+O482+Q482+S482+U482+W482+Y482+AA482+AC482+AE482+0</f>
        <v>0</v>
      </c>
      <c r="AI482" s="6"/>
    </row>
    <row r="483" spans="1:35" x14ac:dyDescent="0.2">
      <c r="A483" s="4"/>
      <c r="B483" s="17">
        <v>475</v>
      </c>
      <c r="C483" s="41" t="s">
        <v>974</v>
      </c>
      <c r="D483" s="53"/>
      <c r="E483" s="15" t="s">
        <v>975</v>
      </c>
      <c r="F483" s="30"/>
      <c r="G483" s="31"/>
      <c r="H483" s="30"/>
      <c r="I483" s="58"/>
      <c r="J483" s="30"/>
      <c r="K483" s="58"/>
      <c r="L483" s="30"/>
      <c r="M483" s="58"/>
      <c r="N483" s="30"/>
      <c r="O483" s="58"/>
      <c r="P483" s="30"/>
      <c r="Q483" s="58"/>
      <c r="R483" s="30"/>
      <c r="S483" s="58"/>
      <c r="T483" s="30"/>
      <c r="U483" s="58"/>
      <c r="V483" s="30"/>
      <c r="W483" s="58"/>
      <c r="X483" s="30"/>
      <c r="Y483" s="58"/>
      <c r="Z483" s="30"/>
      <c r="AA483" s="58"/>
      <c r="AB483" s="30"/>
      <c r="AC483" s="58"/>
      <c r="AD483" s="30"/>
      <c r="AE483" s="58"/>
      <c r="AF483" s="55">
        <v>30000</v>
      </c>
      <c r="AG483" s="12">
        <f>+F483++H483++J483++L483++N483++P483++R483++T483++V483++X483++Z483++AB483++AD483+0</f>
        <v>0</v>
      </c>
      <c r="AH483" s="11">
        <f>G483+I483+K483+M483+O483+Q483+S483+U483+W483+Y483+AA483+AC483+AE483+0</f>
        <v>0</v>
      </c>
      <c r="AI483" s="6"/>
    </row>
    <row r="484" spans="1:35" x14ac:dyDescent="0.2">
      <c r="A484" s="4"/>
      <c r="B484" s="17">
        <v>476</v>
      </c>
      <c r="C484" s="41" t="s">
        <v>976</v>
      </c>
      <c r="D484" s="53"/>
      <c r="E484" s="15" t="s">
        <v>977</v>
      </c>
      <c r="F484" s="30"/>
      <c r="G484" s="31"/>
      <c r="H484" s="30"/>
      <c r="I484" s="58"/>
      <c r="J484" s="30"/>
      <c r="K484" s="58"/>
      <c r="L484" s="30"/>
      <c r="M484" s="58"/>
      <c r="N484" s="30"/>
      <c r="O484" s="58"/>
      <c r="P484" s="30"/>
      <c r="Q484" s="58"/>
      <c r="R484" s="30"/>
      <c r="S484" s="58"/>
      <c r="T484" s="30"/>
      <c r="U484" s="58"/>
      <c r="V484" s="30"/>
      <c r="W484" s="58"/>
      <c r="X484" s="30"/>
      <c r="Y484" s="58"/>
      <c r="Z484" s="30"/>
      <c r="AA484" s="58"/>
      <c r="AB484" s="30"/>
      <c r="AC484" s="58"/>
      <c r="AD484" s="30"/>
      <c r="AE484" s="58"/>
      <c r="AF484" s="55">
        <v>60000</v>
      </c>
      <c r="AG484" s="12">
        <f>+F484++H484++J484++L484++N484++P484++R484++T484++V484++X484++Z484++AB484++AD484+0</f>
        <v>0</v>
      </c>
      <c r="AH484" s="11">
        <f>G484+I484+K484+M484+O484+Q484+S484+U484+W484+Y484+AA484+AC484+AE484+0</f>
        <v>0</v>
      </c>
      <c r="AI484" s="6"/>
    </row>
    <row r="485" spans="1:35" x14ac:dyDescent="0.2">
      <c r="A485" s="4"/>
      <c r="B485" s="17">
        <v>477</v>
      </c>
      <c r="C485" s="41" t="s">
        <v>978</v>
      </c>
      <c r="D485" s="53"/>
      <c r="E485" s="15" t="s">
        <v>979</v>
      </c>
      <c r="F485" s="30"/>
      <c r="G485" s="31"/>
      <c r="H485" s="30"/>
      <c r="I485" s="58"/>
      <c r="J485" s="30"/>
      <c r="K485" s="58"/>
      <c r="L485" s="30"/>
      <c r="M485" s="58"/>
      <c r="N485" s="30"/>
      <c r="O485" s="58"/>
      <c r="P485" s="30"/>
      <c r="Q485" s="58"/>
      <c r="R485" s="30"/>
      <c r="S485" s="58"/>
      <c r="T485" s="30"/>
      <c r="U485" s="58"/>
      <c r="V485" s="30"/>
      <c r="W485" s="58"/>
      <c r="X485" s="30"/>
      <c r="Y485" s="58"/>
      <c r="Z485" s="30"/>
      <c r="AA485" s="58"/>
      <c r="AB485" s="30"/>
      <c r="AC485" s="58"/>
      <c r="AD485" s="30"/>
      <c r="AE485" s="58"/>
      <c r="AF485" s="55">
        <v>650000</v>
      </c>
      <c r="AG485" s="12">
        <f>+F485++H485++J485++L485++N485++P485++R485++T485++V485++X485++Z485++AB485++AD485+0</f>
        <v>0</v>
      </c>
      <c r="AH485" s="11">
        <f>G485+I485+K485+M485+O485+Q485+S485+U485+W485+Y485+AA485+AC485+AE485+0</f>
        <v>0</v>
      </c>
      <c r="AI485" s="6"/>
    </row>
    <row r="486" spans="1:35" x14ac:dyDescent="0.2">
      <c r="A486" s="4"/>
      <c r="B486" s="17">
        <v>478</v>
      </c>
      <c r="C486" s="41" t="s">
        <v>980</v>
      </c>
      <c r="D486" s="53"/>
      <c r="E486" s="15" t="s">
        <v>981</v>
      </c>
      <c r="F486" s="30"/>
      <c r="G486" s="31"/>
      <c r="H486" s="30"/>
      <c r="I486" s="58"/>
      <c r="J486" s="30"/>
      <c r="K486" s="58"/>
      <c r="L486" s="30"/>
      <c r="M486" s="58"/>
      <c r="N486" s="30"/>
      <c r="O486" s="58"/>
      <c r="P486" s="30"/>
      <c r="Q486" s="58"/>
      <c r="R486" s="30"/>
      <c r="S486" s="58"/>
      <c r="T486" s="30"/>
      <c r="U486" s="58"/>
      <c r="V486" s="30"/>
      <c r="W486" s="58"/>
      <c r="X486" s="30"/>
      <c r="Y486" s="58"/>
      <c r="Z486" s="30"/>
      <c r="AA486" s="58"/>
      <c r="AB486" s="30"/>
      <c r="AC486" s="58"/>
      <c r="AD486" s="30"/>
      <c r="AE486" s="58"/>
      <c r="AF486" s="55">
        <v>100000</v>
      </c>
      <c r="AG486" s="12">
        <f>+F486++H486++J486++L486++N486++P486++R486++T486++V486++X486++Z486++AB486++AD486+0</f>
        <v>0</v>
      </c>
      <c r="AH486" s="11">
        <f>G486+I486+K486+M486+O486+Q486+S486+U486+W486+Y486+AA486+AC486+AE486+0</f>
        <v>0</v>
      </c>
      <c r="AI486" s="6"/>
    </row>
    <row r="487" spans="1:35" x14ac:dyDescent="0.2">
      <c r="A487" s="4"/>
      <c r="B487" s="17">
        <v>479</v>
      </c>
      <c r="C487" s="41" t="s">
        <v>982</v>
      </c>
      <c r="D487" s="53"/>
      <c r="E487" s="15" t="s">
        <v>983</v>
      </c>
      <c r="F487" s="30"/>
      <c r="G487" s="31"/>
      <c r="H487" s="30"/>
      <c r="I487" s="58"/>
      <c r="J487" s="30"/>
      <c r="K487" s="58"/>
      <c r="L487" s="30"/>
      <c r="M487" s="58"/>
      <c r="N487" s="30"/>
      <c r="O487" s="58"/>
      <c r="P487" s="30"/>
      <c r="Q487" s="58"/>
      <c r="R487" s="30"/>
      <c r="S487" s="58"/>
      <c r="T487" s="30"/>
      <c r="U487" s="58"/>
      <c r="V487" s="30"/>
      <c r="W487" s="58"/>
      <c r="X487" s="30"/>
      <c r="Y487" s="58"/>
      <c r="Z487" s="30"/>
      <c r="AA487" s="58"/>
      <c r="AB487" s="30"/>
      <c r="AC487" s="58"/>
      <c r="AD487" s="30"/>
      <c r="AE487" s="58"/>
      <c r="AF487" s="55">
        <v>40000</v>
      </c>
      <c r="AG487" s="12">
        <f>+F487++H487++J487++L487++N487++P487++R487++T487++V487++X487++Z487++AB487++AD487+0</f>
        <v>0</v>
      </c>
      <c r="AH487" s="11">
        <f>G487+I487+K487+M487+O487+Q487+S487+U487+W487+Y487+AA487+AC487+AE487+0</f>
        <v>0</v>
      </c>
      <c r="AI487" s="6"/>
    </row>
    <row r="488" spans="1:35" x14ac:dyDescent="0.2">
      <c r="A488" s="4"/>
      <c r="B488" s="17">
        <v>480</v>
      </c>
      <c r="C488" s="41" t="s">
        <v>984</v>
      </c>
      <c r="D488" s="53"/>
      <c r="E488" s="15" t="s">
        <v>985</v>
      </c>
      <c r="F488" s="30"/>
      <c r="G488" s="31"/>
      <c r="H488" s="30"/>
      <c r="I488" s="58"/>
      <c r="J488" s="30"/>
      <c r="K488" s="58"/>
      <c r="L488" s="30"/>
      <c r="M488" s="58"/>
      <c r="N488" s="30"/>
      <c r="O488" s="58"/>
      <c r="P488" s="30"/>
      <c r="Q488" s="58"/>
      <c r="R488" s="30"/>
      <c r="S488" s="58"/>
      <c r="T488" s="30"/>
      <c r="U488" s="58"/>
      <c r="V488" s="30"/>
      <c r="W488" s="58"/>
      <c r="X488" s="30"/>
      <c r="Y488" s="58"/>
      <c r="Z488" s="30"/>
      <c r="AA488" s="58"/>
      <c r="AB488" s="30"/>
      <c r="AC488" s="58"/>
      <c r="AD488" s="30"/>
      <c r="AE488" s="58"/>
      <c r="AF488" s="55">
        <v>50000</v>
      </c>
      <c r="AG488" s="12">
        <f>+F488++H488++J488++L488++N488++P488++R488++T488++V488++X488++Z488++AB488++AD488+0</f>
        <v>0</v>
      </c>
      <c r="AH488" s="11">
        <f>G488+I488+K488+M488+O488+Q488+S488+U488+W488+Y488+AA488+AC488+AE488+0</f>
        <v>0</v>
      </c>
      <c r="AI488" s="6"/>
    </row>
    <row r="489" spans="1:35" x14ac:dyDescent="0.2">
      <c r="A489" s="4"/>
      <c r="B489" s="17">
        <v>481</v>
      </c>
      <c r="C489" s="41" t="s">
        <v>986</v>
      </c>
      <c r="D489" s="53"/>
      <c r="E489" s="15" t="s">
        <v>987</v>
      </c>
      <c r="F489" s="30"/>
      <c r="G489" s="31"/>
      <c r="H489" s="30"/>
      <c r="I489" s="58"/>
      <c r="J489" s="30"/>
      <c r="K489" s="58"/>
      <c r="L489" s="30"/>
      <c r="M489" s="58"/>
      <c r="N489" s="30"/>
      <c r="O489" s="58"/>
      <c r="P489" s="30"/>
      <c r="Q489" s="58"/>
      <c r="R489" s="30"/>
      <c r="S489" s="58"/>
      <c r="T489" s="30"/>
      <c r="U489" s="58"/>
      <c r="V489" s="30"/>
      <c r="W489" s="58"/>
      <c r="X489" s="30"/>
      <c r="Y489" s="58"/>
      <c r="Z489" s="30"/>
      <c r="AA489" s="58"/>
      <c r="AB489" s="30"/>
      <c r="AC489" s="58"/>
      <c r="AD489" s="30"/>
      <c r="AE489" s="58"/>
      <c r="AF489" s="55">
        <v>25000</v>
      </c>
      <c r="AG489" s="12">
        <f>+F489++H489++J489++L489++N489++P489++R489++T489++V489++X489++Z489++AB489++AD489+0</f>
        <v>0</v>
      </c>
      <c r="AH489" s="11">
        <f>G489+I489+K489+M489+O489+Q489+S489+U489+W489+Y489+AA489+AC489+AE489+0</f>
        <v>0</v>
      </c>
      <c r="AI489" s="6"/>
    </row>
    <row r="490" spans="1:35" x14ac:dyDescent="0.2">
      <c r="A490" s="4"/>
      <c r="B490" s="17">
        <v>482</v>
      </c>
      <c r="C490" s="41" t="s">
        <v>988</v>
      </c>
      <c r="D490" s="53"/>
      <c r="E490" s="15" t="s">
        <v>989</v>
      </c>
      <c r="F490" s="30"/>
      <c r="G490" s="31"/>
      <c r="H490" s="30"/>
      <c r="I490" s="58"/>
      <c r="J490" s="30"/>
      <c r="K490" s="58"/>
      <c r="L490" s="30"/>
      <c r="M490" s="58"/>
      <c r="N490" s="30"/>
      <c r="O490" s="58"/>
      <c r="P490" s="30"/>
      <c r="Q490" s="58"/>
      <c r="R490" s="30"/>
      <c r="S490" s="58"/>
      <c r="T490" s="30"/>
      <c r="U490" s="58"/>
      <c r="V490" s="30"/>
      <c r="W490" s="58"/>
      <c r="X490" s="30"/>
      <c r="Y490" s="58"/>
      <c r="Z490" s="30"/>
      <c r="AA490" s="58"/>
      <c r="AB490" s="30"/>
      <c r="AC490" s="58"/>
      <c r="AD490" s="30"/>
      <c r="AE490" s="58"/>
      <c r="AF490" s="55">
        <v>1000000</v>
      </c>
      <c r="AG490" s="12">
        <f>+F490++H490++J490++L490++N490++P490++R490++T490++V490++X490++Z490++AB490++AD490+0</f>
        <v>0</v>
      </c>
      <c r="AH490" s="11">
        <f>G490+I490+K490+M490+O490+Q490+S490+U490+W490+Y490+AA490+AC490+AE490+0</f>
        <v>0</v>
      </c>
      <c r="AI490" s="6"/>
    </row>
    <row r="491" spans="1:35" x14ac:dyDescent="0.2">
      <c r="A491" s="4"/>
      <c r="B491" s="17">
        <v>483</v>
      </c>
      <c r="C491" s="41" t="s">
        <v>990</v>
      </c>
      <c r="D491" s="53"/>
      <c r="E491" s="15" t="s">
        <v>991</v>
      </c>
      <c r="F491" s="30"/>
      <c r="G491" s="31"/>
      <c r="H491" s="30"/>
      <c r="I491" s="58"/>
      <c r="J491" s="30"/>
      <c r="K491" s="58"/>
      <c r="L491" s="30"/>
      <c r="M491" s="58"/>
      <c r="N491" s="30"/>
      <c r="O491" s="58"/>
      <c r="P491" s="30"/>
      <c r="Q491" s="58"/>
      <c r="R491" s="30"/>
      <c r="S491" s="58"/>
      <c r="T491" s="30"/>
      <c r="U491" s="58"/>
      <c r="V491" s="30"/>
      <c r="W491" s="58"/>
      <c r="X491" s="30"/>
      <c r="Y491" s="58"/>
      <c r="Z491" s="30"/>
      <c r="AA491" s="58"/>
      <c r="AB491" s="30"/>
      <c r="AC491" s="58"/>
      <c r="AD491" s="30"/>
      <c r="AE491" s="58"/>
      <c r="AF491" s="55">
        <v>100000</v>
      </c>
      <c r="AG491" s="12">
        <f>+F491++H491++J491++L491++N491++P491++R491++T491++V491++X491++Z491++AB491++AD491+0</f>
        <v>0</v>
      </c>
      <c r="AH491" s="11">
        <f>G491+I491+K491+M491+O491+Q491+S491+U491+W491+Y491+AA491+AC491+AE491+0</f>
        <v>0</v>
      </c>
      <c r="AI491" s="6"/>
    </row>
    <row r="492" spans="1:35" x14ac:dyDescent="0.2">
      <c r="A492" s="4"/>
      <c r="B492" s="17">
        <v>484</v>
      </c>
      <c r="C492" s="41" t="s">
        <v>992</v>
      </c>
      <c r="D492" s="53"/>
      <c r="E492" s="15" t="s">
        <v>993</v>
      </c>
      <c r="F492" s="30"/>
      <c r="G492" s="31"/>
      <c r="H492" s="30"/>
      <c r="I492" s="58"/>
      <c r="J492" s="30"/>
      <c r="K492" s="58"/>
      <c r="L492" s="30"/>
      <c r="M492" s="58"/>
      <c r="N492" s="30"/>
      <c r="O492" s="58"/>
      <c r="P492" s="30"/>
      <c r="Q492" s="58"/>
      <c r="R492" s="30"/>
      <c r="S492" s="58"/>
      <c r="T492" s="30"/>
      <c r="U492" s="58"/>
      <c r="V492" s="30"/>
      <c r="W492" s="58"/>
      <c r="X492" s="30"/>
      <c r="Y492" s="58"/>
      <c r="Z492" s="30"/>
      <c r="AA492" s="58"/>
      <c r="AB492" s="30"/>
      <c r="AC492" s="58"/>
      <c r="AD492" s="30"/>
      <c r="AE492" s="58"/>
      <c r="AF492" s="55">
        <v>100000</v>
      </c>
      <c r="AG492" s="12">
        <f>+F492++H492++J492++L492++N492++P492++R492++T492++V492++X492++Z492++AB492++AD492+0</f>
        <v>0</v>
      </c>
      <c r="AH492" s="11">
        <f>G492+I492+K492+M492+O492+Q492+S492+U492+W492+Y492+AA492+AC492+AE492+0</f>
        <v>0</v>
      </c>
      <c r="AI492" s="6"/>
    </row>
    <row r="493" spans="1:35" x14ac:dyDescent="0.2">
      <c r="A493" s="4"/>
      <c r="B493" s="17">
        <v>485</v>
      </c>
      <c r="C493" s="41" t="s">
        <v>994</v>
      </c>
      <c r="D493" s="53"/>
      <c r="E493" s="15" t="s">
        <v>995</v>
      </c>
      <c r="F493" s="30"/>
      <c r="G493" s="31"/>
      <c r="H493" s="30"/>
      <c r="I493" s="58"/>
      <c r="J493" s="30"/>
      <c r="K493" s="58"/>
      <c r="L493" s="30"/>
      <c r="M493" s="58"/>
      <c r="N493" s="30"/>
      <c r="O493" s="58"/>
      <c r="P493" s="30"/>
      <c r="Q493" s="58"/>
      <c r="R493" s="30"/>
      <c r="S493" s="58"/>
      <c r="T493" s="30"/>
      <c r="U493" s="58"/>
      <c r="V493" s="30"/>
      <c r="W493" s="58"/>
      <c r="X493" s="30"/>
      <c r="Y493" s="58"/>
      <c r="Z493" s="30"/>
      <c r="AA493" s="58"/>
      <c r="AB493" s="30"/>
      <c r="AC493" s="58"/>
      <c r="AD493" s="30"/>
      <c r="AE493" s="58"/>
      <c r="AF493" s="55">
        <v>50000</v>
      </c>
      <c r="AG493" s="12">
        <f>+F493++H493++J493++L493++N493++P493++R493++T493++V493++X493++Z493++AB493++AD493+0</f>
        <v>0</v>
      </c>
      <c r="AH493" s="11">
        <f>G493+I493+K493+M493+O493+Q493+S493+U493+W493+Y493+AA493+AC493+AE493+0</f>
        <v>0</v>
      </c>
      <c r="AI493" s="6"/>
    </row>
    <row r="494" spans="1:35" x14ac:dyDescent="0.2">
      <c r="A494" s="4"/>
      <c r="B494" s="17">
        <v>486</v>
      </c>
      <c r="C494" s="41" t="s">
        <v>996</v>
      </c>
      <c r="D494" s="53"/>
      <c r="E494" s="15" t="s">
        <v>997</v>
      </c>
      <c r="F494" s="30"/>
      <c r="G494" s="31"/>
      <c r="H494" s="30"/>
      <c r="I494" s="58"/>
      <c r="J494" s="30"/>
      <c r="K494" s="58"/>
      <c r="L494" s="30"/>
      <c r="M494" s="58"/>
      <c r="N494" s="30"/>
      <c r="O494" s="58"/>
      <c r="P494" s="30"/>
      <c r="Q494" s="58"/>
      <c r="R494" s="30"/>
      <c r="S494" s="58"/>
      <c r="T494" s="30"/>
      <c r="U494" s="58"/>
      <c r="V494" s="30"/>
      <c r="W494" s="58"/>
      <c r="X494" s="30"/>
      <c r="Y494" s="58"/>
      <c r="Z494" s="30"/>
      <c r="AA494" s="58"/>
      <c r="AB494" s="30"/>
      <c r="AC494" s="58"/>
      <c r="AD494" s="30"/>
      <c r="AE494" s="58"/>
      <c r="AF494" s="55">
        <v>80000</v>
      </c>
      <c r="AG494" s="12">
        <f>+F494++H494++J494++L494++N494++P494++R494++T494++V494++X494++Z494++AB494++AD494+0</f>
        <v>0</v>
      </c>
      <c r="AH494" s="11">
        <f>G494+I494+K494+M494+O494+Q494+S494+U494+W494+Y494+AA494+AC494+AE494+0</f>
        <v>0</v>
      </c>
      <c r="AI494" s="6"/>
    </row>
    <row r="495" spans="1:35" x14ac:dyDescent="0.2">
      <c r="A495" s="4"/>
      <c r="B495" s="17">
        <v>487</v>
      </c>
      <c r="C495" s="41" t="s">
        <v>998</v>
      </c>
      <c r="D495" s="53"/>
      <c r="E495" s="15" t="s">
        <v>999</v>
      </c>
      <c r="F495" s="30"/>
      <c r="G495" s="31"/>
      <c r="H495" s="30"/>
      <c r="I495" s="58"/>
      <c r="J495" s="30"/>
      <c r="K495" s="58"/>
      <c r="L495" s="30"/>
      <c r="M495" s="58"/>
      <c r="N495" s="30"/>
      <c r="O495" s="58"/>
      <c r="P495" s="30"/>
      <c r="Q495" s="58"/>
      <c r="R495" s="30"/>
      <c r="S495" s="58"/>
      <c r="T495" s="30"/>
      <c r="U495" s="58"/>
      <c r="V495" s="30"/>
      <c r="W495" s="58"/>
      <c r="X495" s="30"/>
      <c r="Y495" s="58"/>
      <c r="Z495" s="30"/>
      <c r="AA495" s="58"/>
      <c r="AB495" s="30"/>
      <c r="AC495" s="58"/>
      <c r="AD495" s="30"/>
      <c r="AE495" s="58"/>
      <c r="AF495" s="55">
        <v>15000</v>
      </c>
      <c r="AG495" s="12">
        <f>+F495++H495++J495++L495++N495++P495++R495++T495++V495++X495++Z495++AB495++AD495+0</f>
        <v>0</v>
      </c>
      <c r="AH495" s="11">
        <f>G495+I495+K495+M495+O495+Q495+S495+U495+W495+Y495+AA495+AC495+AE495+0</f>
        <v>0</v>
      </c>
      <c r="AI495" s="6"/>
    </row>
    <row r="496" spans="1:35" x14ac:dyDescent="0.2">
      <c r="A496" s="4"/>
      <c r="B496" s="17">
        <v>488</v>
      </c>
      <c r="C496" s="41" t="s">
        <v>1000</v>
      </c>
      <c r="D496" s="53"/>
      <c r="E496" s="15" t="s">
        <v>1001</v>
      </c>
      <c r="F496" s="30"/>
      <c r="G496" s="31"/>
      <c r="H496" s="30"/>
      <c r="I496" s="58"/>
      <c r="J496" s="30"/>
      <c r="K496" s="58"/>
      <c r="L496" s="30"/>
      <c r="M496" s="58"/>
      <c r="N496" s="30"/>
      <c r="O496" s="58"/>
      <c r="P496" s="30"/>
      <c r="Q496" s="58"/>
      <c r="R496" s="30"/>
      <c r="S496" s="58"/>
      <c r="T496" s="30"/>
      <c r="U496" s="58"/>
      <c r="V496" s="30"/>
      <c r="W496" s="58"/>
      <c r="X496" s="30"/>
      <c r="Y496" s="58"/>
      <c r="Z496" s="30"/>
      <c r="AA496" s="58"/>
      <c r="AB496" s="30"/>
      <c r="AC496" s="58"/>
      <c r="AD496" s="30"/>
      <c r="AE496" s="58"/>
      <c r="AF496" s="55">
        <v>20000</v>
      </c>
      <c r="AG496" s="12">
        <f>+F496++H496++J496++L496++N496++P496++R496++T496++V496++X496++Z496++AB496++AD496+0</f>
        <v>0</v>
      </c>
      <c r="AH496" s="11">
        <f>G496+I496+K496+M496+O496+Q496+S496+U496+W496+Y496+AA496+AC496+AE496+0</f>
        <v>0</v>
      </c>
      <c r="AI496" s="6"/>
    </row>
    <row r="497" spans="1:35" x14ac:dyDescent="0.2">
      <c r="A497" s="4"/>
      <c r="B497" s="17">
        <v>489</v>
      </c>
      <c r="C497" s="41" t="s">
        <v>1002</v>
      </c>
      <c r="D497" s="53"/>
      <c r="E497" s="15" t="s">
        <v>1003</v>
      </c>
      <c r="F497" s="30"/>
      <c r="G497" s="31"/>
      <c r="H497" s="30"/>
      <c r="I497" s="58"/>
      <c r="J497" s="30"/>
      <c r="K497" s="58"/>
      <c r="L497" s="30"/>
      <c r="M497" s="58"/>
      <c r="N497" s="30"/>
      <c r="O497" s="58"/>
      <c r="P497" s="30"/>
      <c r="Q497" s="58"/>
      <c r="R497" s="30"/>
      <c r="S497" s="58"/>
      <c r="T497" s="30"/>
      <c r="U497" s="58"/>
      <c r="V497" s="30"/>
      <c r="W497" s="58"/>
      <c r="X497" s="30"/>
      <c r="Y497" s="58"/>
      <c r="Z497" s="30"/>
      <c r="AA497" s="58"/>
      <c r="AB497" s="30"/>
      <c r="AC497" s="58"/>
      <c r="AD497" s="30"/>
      <c r="AE497" s="58"/>
      <c r="AF497" s="55">
        <v>30000</v>
      </c>
      <c r="AG497" s="12">
        <f>+F497++H497++J497++L497++N497++P497++R497++T497++V497++X497++Z497++AB497++AD497+0</f>
        <v>0</v>
      </c>
      <c r="AH497" s="11">
        <f>G497+I497+K497+M497+O497+Q497+S497+U497+W497+Y497+AA497+AC497+AE497+0</f>
        <v>0</v>
      </c>
      <c r="AI497" s="6"/>
    </row>
    <row r="498" spans="1:35" x14ac:dyDescent="0.2">
      <c r="A498" s="4"/>
      <c r="B498" s="17">
        <v>490</v>
      </c>
      <c r="C498" s="41" t="s">
        <v>1004</v>
      </c>
      <c r="D498" s="53"/>
      <c r="E498" s="15" t="s">
        <v>1005</v>
      </c>
      <c r="F498" s="30"/>
      <c r="G498" s="31"/>
      <c r="H498" s="30"/>
      <c r="I498" s="58"/>
      <c r="J498" s="30"/>
      <c r="K498" s="58"/>
      <c r="L498" s="30"/>
      <c r="M498" s="58"/>
      <c r="N498" s="30"/>
      <c r="O498" s="58"/>
      <c r="P498" s="30"/>
      <c r="Q498" s="58"/>
      <c r="R498" s="30"/>
      <c r="S498" s="58"/>
      <c r="T498" s="30"/>
      <c r="U498" s="58"/>
      <c r="V498" s="30"/>
      <c r="W498" s="58"/>
      <c r="X498" s="30"/>
      <c r="Y498" s="58"/>
      <c r="Z498" s="30"/>
      <c r="AA498" s="58"/>
      <c r="AB498" s="30"/>
      <c r="AC498" s="58"/>
      <c r="AD498" s="30"/>
      <c r="AE498" s="58"/>
      <c r="AF498" s="55">
        <v>40000</v>
      </c>
      <c r="AG498" s="12">
        <f>+F498++H498++J498++L498++N498++P498++R498++T498++V498++X498++Z498++AB498++AD498+0</f>
        <v>0</v>
      </c>
      <c r="AH498" s="11">
        <f>G498+I498+K498+M498+O498+Q498+S498+U498+W498+Y498+AA498+AC498+AE498+0</f>
        <v>0</v>
      </c>
      <c r="AI498" s="6"/>
    </row>
    <row r="499" spans="1:35" x14ac:dyDescent="0.2">
      <c r="A499" s="4"/>
      <c r="B499" s="17">
        <v>491</v>
      </c>
      <c r="C499" s="41" t="s">
        <v>1006</v>
      </c>
      <c r="D499" s="53"/>
      <c r="E499" s="15" t="s">
        <v>1007</v>
      </c>
      <c r="F499" s="30"/>
      <c r="G499" s="31"/>
      <c r="H499" s="30"/>
      <c r="I499" s="58"/>
      <c r="J499" s="30"/>
      <c r="K499" s="58"/>
      <c r="L499" s="30"/>
      <c r="M499" s="58"/>
      <c r="N499" s="30"/>
      <c r="O499" s="58"/>
      <c r="P499" s="30"/>
      <c r="Q499" s="58"/>
      <c r="R499" s="30"/>
      <c r="S499" s="58"/>
      <c r="T499" s="30"/>
      <c r="U499" s="58"/>
      <c r="V499" s="30"/>
      <c r="W499" s="58"/>
      <c r="X499" s="30"/>
      <c r="Y499" s="58"/>
      <c r="Z499" s="30"/>
      <c r="AA499" s="58"/>
      <c r="AB499" s="30"/>
      <c r="AC499" s="58"/>
      <c r="AD499" s="30"/>
      <c r="AE499" s="58"/>
      <c r="AF499" s="55">
        <v>30000</v>
      </c>
      <c r="AG499" s="12">
        <f>+F499++H499++J499++L499++N499++P499++R499++T499++V499++X499++Z499++AB499++AD499+0</f>
        <v>0</v>
      </c>
      <c r="AH499" s="11">
        <f>G499+I499+K499+M499+O499+Q499+S499+U499+W499+Y499+AA499+AC499+AE499+0</f>
        <v>0</v>
      </c>
      <c r="AI499" s="6"/>
    </row>
    <row r="500" spans="1:35" x14ac:dyDescent="0.2">
      <c r="A500" s="4"/>
      <c r="B500" s="17">
        <v>492</v>
      </c>
      <c r="C500" s="41" t="s">
        <v>1008</v>
      </c>
      <c r="D500" s="53"/>
      <c r="E500" s="15" t="s">
        <v>1009</v>
      </c>
      <c r="F500" s="30"/>
      <c r="G500" s="31"/>
      <c r="H500" s="30"/>
      <c r="I500" s="58"/>
      <c r="J500" s="30"/>
      <c r="K500" s="58"/>
      <c r="L500" s="30"/>
      <c r="M500" s="58"/>
      <c r="N500" s="30"/>
      <c r="O500" s="58"/>
      <c r="P500" s="30"/>
      <c r="Q500" s="58"/>
      <c r="R500" s="30"/>
      <c r="S500" s="58"/>
      <c r="T500" s="30"/>
      <c r="U500" s="58"/>
      <c r="V500" s="30"/>
      <c r="W500" s="58"/>
      <c r="X500" s="30"/>
      <c r="Y500" s="58"/>
      <c r="Z500" s="30"/>
      <c r="AA500" s="58"/>
      <c r="AB500" s="30"/>
      <c r="AC500" s="58"/>
      <c r="AD500" s="30"/>
      <c r="AE500" s="58"/>
      <c r="AF500" s="55">
        <v>40000</v>
      </c>
      <c r="AG500" s="12">
        <f>+F500++H500++J500++L500++N500++P500++R500++T500++V500++X500++Z500++AB500++AD500+0</f>
        <v>0</v>
      </c>
      <c r="AH500" s="11">
        <f>G500+I500+K500+M500+O500+Q500+S500+U500+W500+Y500+AA500+AC500+AE500+0</f>
        <v>0</v>
      </c>
      <c r="AI500" s="6"/>
    </row>
    <row r="501" spans="1:35" x14ac:dyDescent="0.2">
      <c r="A501" s="4"/>
      <c r="B501" s="17">
        <v>493</v>
      </c>
      <c r="C501" s="41" t="s">
        <v>1010</v>
      </c>
      <c r="D501" s="53"/>
      <c r="E501" s="15" t="s">
        <v>1011</v>
      </c>
      <c r="F501" s="30"/>
      <c r="G501" s="31"/>
      <c r="H501" s="30"/>
      <c r="I501" s="58"/>
      <c r="J501" s="30"/>
      <c r="K501" s="58"/>
      <c r="L501" s="30"/>
      <c r="M501" s="58"/>
      <c r="N501" s="30"/>
      <c r="O501" s="58"/>
      <c r="P501" s="30"/>
      <c r="Q501" s="58"/>
      <c r="R501" s="30"/>
      <c r="S501" s="58"/>
      <c r="T501" s="30"/>
      <c r="U501" s="58"/>
      <c r="V501" s="30"/>
      <c r="W501" s="58"/>
      <c r="X501" s="30"/>
      <c r="Y501" s="58"/>
      <c r="Z501" s="30"/>
      <c r="AA501" s="58"/>
      <c r="AB501" s="30"/>
      <c r="AC501" s="58"/>
      <c r="AD501" s="30"/>
      <c r="AE501" s="58"/>
      <c r="AF501" s="55">
        <v>30000</v>
      </c>
      <c r="AG501" s="12">
        <f>+F501++H501++J501++L501++N501++P501++R501++T501++V501++X501++Z501++AB501++AD501+0</f>
        <v>0</v>
      </c>
      <c r="AH501" s="11">
        <f>G501+I501+K501+M501+O501+Q501+S501+U501+W501+Y501+AA501+AC501+AE501+0</f>
        <v>0</v>
      </c>
      <c r="AI501" s="6"/>
    </row>
    <row r="502" spans="1:35" x14ac:dyDescent="0.2">
      <c r="A502" s="4"/>
      <c r="B502" s="17">
        <v>494</v>
      </c>
      <c r="C502" s="41" t="s">
        <v>1012</v>
      </c>
      <c r="D502" s="53"/>
      <c r="E502" s="15" t="s">
        <v>1013</v>
      </c>
      <c r="F502" s="30"/>
      <c r="G502" s="31"/>
      <c r="H502" s="30"/>
      <c r="I502" s="58"/>
      <c r="J502" s="30"/>
      <c r="K502" s="58"/>
      <c r="L502" s="30"/>
      <c r="M502" s="58"/>
      <c r="N502" s="30"/>
      <c r="O502" s="58"/>
      <c r="P502" s="30"/>
      <c r="Q502" s="58"/>
      <c r="R502" s="30"/>
      <c r="S502" s="58"/>
      <c r="T502" s="30"/>
      <c r="U502" s="58"/>
      <c r="V502" s="30"/>
      <c r="W502" s="58"/>
      <c r="X502" s="30"/>
      <c r="Y502" s="58"/>
      <c r="Z502" s="30"/>
      <c r="AA502" s="58"/>
      <c r="AB502" s="30"/>
      <c r="AC502" s="58"/>
      <c r="AD502" s="30"/>
      <c r="AE502" s="58"/>
      <c r="AF502" s="55">
        <v>20000</v>
      </c>
      <c r="AG502" s="12">
        <f>+F502++H502++J502++L502++N502++P502++R502++T502++V502++X502++Z502++AB502++AD502+0</f>
        <v>0</v>
      </c>
      <c r="AH502" s="11">
        <f>G502+I502+K502+M502+O502+Q502+S502+U502+W502+Y502+AA502+AC502+AE502+0</f>
        <v>0</v>
      </c>
      <c r="AI502" s="6"/>
    </row>
    <row r="503" spans="1:35" x14ac:dyDescent="0.2">
      <c r="A503" s="4"/>
      <c r="B503" s="17">
        <v>495</v>
      </c>
      <c r="C503" s="41" t="s">
        <v>1014</v>
      </c>
      <c r="D503" s="53"/>
      <c r="E503" s="15" t="s">
        <v>1015</v>
      </c>
      <c r="F503" s="30"/>
      <c r="G503" s="31"/>
      <c r="H503" s="30"/>
      <c r="I503" s="58"/>
      <c r="J503" s="30"/>
      <c r="K503" s="58"/>
      <c r="L503" s="30"/>
      <c r="M503" s="58"/>
      <c r="N503" s="30"/>
      <c r="O503" s="58"/>
      <c r="P503" s="30"/>
      <c r="Q503" s="58"/>
      <c r="R503" s="30"/>
      <c r="S503" s="58"/>
      <c r="T503" s="30"/>
      <c r="U503" s="58"/>
      <c r="V503" s="30"/>
      <c r="W503" s="58"/>
      <c r="X503" s="30"/>
      <c r="Y503" s="58"/>
      <c r="Z503" s="30"/>
      <c r="AA503" s="58"/>
      <c r="AB503" s="30"/>
      <c r="AC503" s="58"/>
      <c r="AD503" s="30"/>
      <c r="AE503" s="58"/>
      <c r="AF503" s="55">
        <v>35000</v>
      </c>
      <c r="AG503" s="12">
        <f>+F503++H503++J503++L503++N503++P503++R503++T503++V503++X503++Z503++AB503++AD503+0</f>
        <v>0</v>
      </c>
      <c r="AH503" s="11">
        <f>G503+I503+K503+M503+O503+Q503+S503+U503+W503+Y503+AA503+AC503+AE503+0</f>
        <v>0</v>
      </c>
      <c r="AI503" s="6"/>
    </row>
    <row r="504" spans="1:35" x14ac:dyDescent="0.2">
      <c r="A504" s="4"/>
      <c r="B504" s="17">
        <v>496</v>
      </c>
      <c r="C504" s="41" t="s">
        <v>1016</v>
      </c>
      <c r="D504" s="53"/>
      <c r="E504" s="15" t="s">
        <v>1017</v>
      </c>
      <c r="F504" s="30"/>
      <c r="G504" s="31"/>
      <c r="H504" s="30"/>
      <c r="I504" s="58"/>
      <c r="J504" s="30"/>
      <c r="K504" s="58"/>
      <c r="L504" s="30"/>
      <c r="M504" s="58"/>
      <c r="N504" s="30"/>
      <c r="O504" s="58"/>
      <c r="P504" s="30"/>
      <c r="Q504" s="58"/>
      <c r="R504" s="30"/>
      <c r="S504" s="58"/>
      <c r="T504" s="30"/>
      <c r="U504" s="58"/>
      <c r="V504" s="30"/>
      <c r="W504" s="58"/>
      <c r="X504" s="30"/>
      <c r="Y504" s="58"/>
      <c r="Z504" s="30"/>
      <c r="AA504" s="58"/>
      <c r="AB504" s="30"/>
      <c r="AC504" s="58"/>
      <c r="AD504" s="30"/>
      <c r="AE504" s="58"/>
      <c r="AF504" s="55">
        <v>15000</v>
      </c>
      <c r="AG504" s="12">
        <f>+F504++H504++J504++L504++N504++P504++R504++T504++V504++X504++Z504++AB504++AD504+0</f>
        <v>0</v>
      </c>
      <c r="AH504" s="11">
        <f>G504+I504+K504+M504+O504+Q504+S504+U504+W504+Y504+AA504+AC504+AE504+0</f>
        <v>0</v>
      </c>
      <c r="AI504" s="6"/>
    </row>
    <row r="505" spans="1:35" x14ac:dyDescent="0.2">
      <c r="A505" s="4"/>
      <c r="B505" s="17">
        <v>497</v>
      </c>
      <c r="C505" s="41" t="s">
        <v>1018</v>
      </c>
      <c r="D505" s="53"/>
      <c r="E505" s="15" t="s">
        <v>1019</v>
      </c>
      <c r="F505" s="30"/>
      <c r="G505" s="31"/>
      <c r="H505" s="30"/>
      <c r="I505" s="58"/>
      <c r="J505" s="30"/>
      <c r="K505" s="58"/>
      <c r="L505" s="30"/>
      <c r="M505" s="58"/>
      <c r="N505" s="30"/>
      <c r="O505" s="58"/>
      <c r="P505" s="30"/>
      <c r="Q505" s="58"/>
      <c r="R505" s="30"/>
      <c r="S505" s="58"/>
      <c r="T505" s="30"/>
      <c r="U505" s="58"/>
      <c r="V505" s="30"/>
      <c r="W505" s="58"/>
      <c r="X505" s="30"/>
      <c r="Y505" s="58"/>
      <c r="Z505" s="30"/>
      <c r="AA505" s="58"/>
      <c r="AB505" s="30"/>
      <c r="AC505" s="58"/>
      <c r="AD505" s="30"/>
      <c r="AE505" s="58"/>
      <c r="AF505" s="55">
        <v>50000</v>
      </c>
      <c r="AG505" s="12">
        <f>+F505++H505++J505++L505++N505++P505++R505++T505++V505++X505++Z505++AB505++AD505+0</f>
        <v>0</v>
      </c>
      <c r="AH505" s="11">
        <f>G505+I505+K505+M505+O505+Q505+S505+U505+W505+Y505+AA505+AC505+AE505+0</f>
        <v>0</v>
      </c>
      <c r="AI505" s="6"/>
    </row>
    <row r="506" spans="1:35" x14ac:dyDescent="0.2">
      <c r="A506" s="4"/>
      <c r="B506" s="17">
        <v>498</v>
      </c>
      <c r="C506" s="41" t="s">
        <v>1020</v>
      </c>
      <c r="D506" s="53"/>
      <c r="E506" s="15" t="s">
        <v>1021</v>
      </c>
      <c r="F506" s="30"/>
      <c r="G506" s="31"/>
      <c r="H506" s="30"/>
      <c r="I506" s="58"/>
      <c r="J506" s="30"/>
      <c r="K506" s="58"/>
      <c r="L506" s="30"/>
      <c r="M506" s="58"/>
      <c r="N506" s="30"/>
      <c r="O506" s="58"/>
      <c r="P506" s="30"/>
      <c r="Q506" s="58"/>
      <c r="R506" s="30"/>
      <c r="S506" s="58"/>
      <c r="T506" s="30"/>
      <c r="U506" s="58"/>
      <c r="V506" s="30"/>
      <c r="W506" s="58"/>
      <c r="X506" s="30"/>
      <c r="Y506" s="58"/>
      <c r="Z506" s="30"/>
      <c r="AA506" s="58"/>
      <c r="AB506" s="30"/>
      <c r="AC506" s="58"/>
      <c r="AD506" s="30"/>
      <c r="AE506" s="58"/>
      <c r="AF506" s="55">
        <v>50000</v>
      </c>
      <c r="AG506" s="12">
        <f>+F506++H506++J506++L506++N506++P506++R506++T506++V506++X506++Z506++AB506++AD506+0</f>
        <v>0</v>
      </c>
      <c r="AH506" s="11">
        <f>G506+I506+K506+M506+O506+Q506+S506+U506+W506+Y506+AA506+AC506+AE506+0</f>
        <v>0</v>
      </c>
      <c r="AI506" s="6"/>
    </row>
    <row r="507" spans="1:35" x14ac:dyDescent="0.2">
      <c r="A507" s="4"/>
      <c r="B507" s="17">
        <v>499</v>
      </c>
      <c r="C507" s="41" t="s">
        <v>1022</v>
      </c>
      <c r="D507" s="53"/>
      <c r="E507" s="15" t="s">
        <v>1023</v>
      </c>
      <c r="F507" s="30"/>
      <c r="G507" s="31"/>
      <c r="H507" s="30"/>
      <c r="I507" s="58"/>
      <c r="J507" s="30"/>
      <c r="K507" s="58"/>
      <c r="L507" s="30"/>
      <c r="M507" s="58"/>
      <c r="N507" s="30"/>
      <c r="O507" s="58"/>
      <c r="P507" s="30"/>
      <c r="Q507" s="58"/>
      <c r="R507" s="30"/>
      <c r="S507" s="58"/>
      <c r="T507" s="30"/>
      <c r="U507" s="58"/>
      <c r="V507" s="30"/>
      <c r="W507" s="58"/>
      <c r="X507" s="30"/>
      <c r="Y507" s="58"/>
      <c r="Z507" s="30"/>
      <c r="AA507" s="58"/>
      <c r="AB507" s="30"/>
      <c r="AC507" s="58"/>
      <c r="AD507" s="30"/>
      <c r="AE507" s="58"/>
      <c r="AF507" s="55">
        <v>40000</v>
      </c>
      <c r="AG507" s="12">
        <f>+F507++H507++J507++L507++N507++P507++R507++T507++V507++X507++Z507++AB507++AD507+0</f>
        <v>0</v>
      </c>
      <c r="AH507" s="11">
        <f>G507+I507+K507+M507+O507+Q507+S507+U507+W507+Y507+AA507+AC507+AE507+0</f>
        <v>0</v>
      </c>
      <c r="AI507" s="6"/>
    </row>
    <row r="508" spans="1:35" x14ac:dyDescent="0.2">
      <c r="A508" s="4"/>
      <c r="B508" s="17">
        <v>500</v>
      </c>
      <c r="C508" s="41" t="s">
        <v>1024</v>
      </c>
      <c r="D508" s="53"/>
      <c r="E508" s="15" t="s">
        <v>1025</v>
      </c>
      <c r="F508" s="30"/>
      <c r="G508" s="31"/>
      <c r="H508" s="30"/>
      <c r="I508" s="58"/>
      <c r="J508" s="30"/>
      <c r="K508" s="58"/>
      <c r="L508" s="30"/>
      <c r="M508" s="58"/>
      <c r="N508" s="30"/>
      <c r="O508" s="58"/>
      <c r="P508" s="30"/>
      <c r="Q508" s="58"/>
      <c r="R508" s="30"/>
      <c r="S508" s="58"/>
      <c r="T508" s="30"/>
      <c r="U508" s="58"/>
      <c r="V508" s="30"/>
      <c r="W508" s="58"/>
      <c r="X508" s="30"/>
      <c r="Y508" s="58"/>
      <c r="Z508" s="30"/>
      <c r="AA508" s="58"/>
      <c r="AB508" s="30"/>
      <c r="AC508" s="58"/>
      <c r="AD508" s="30"/>
      <c r="AE508" s="58"/>
      <c r="AF508" s="55">
        <v>30000</v>
      </c>
      <c r="AG508" s="12">
        <f>+F508++H508++J508++L508++N508++P508++R508++T508++V508++X508++Z508++AB508++AD508+0</f>
        <v>0</v>
      </c>
      <c r="AH508" s="11">
        <f>G508+I508+K508+M508+O508+Q508+S508+U508+W508+Y508+AA508+AC508+AE508+0</f>
        <v>0</v>
      </c>
      <c r="AI508" s="6"/>
    </row>
    <row r="509" spans="1:35" x14ac:dyDescent="0.2">
      <c r="A509" s="4"/>
      <c r="B509" s="17">
        <v>501</v>
      </c>
      <c r="C509" s="41" t="s">
        <v>1026</v>
      </c>
      <c r="D509" s="53"/>
      <c r="E509" s="15" t="s">
        <v>1027</v>
      </c>
      <c r="F509" s="30"/>
      <c r="G509" s="31"/>
      <c r="H509" s="30"/>
      <c r="I509" s="58"/>
      <c r="J509" s="30"/>
      <c r="K509" s="58"/>
      <c r="L509" s="30"/>
      <c r="M509" s="58"/>
      <c r="N509" s="30"/>
      <c r="O509" s="58"/>
      <c r="P509" s="30"/>
      <c r="Q509" s="58"/>
      <c r="R509" s="30"/>
      <c r="S509" s="58"/>
      <c r="T509" s="30"/>
      <c r="U509" s="58"/>
      <c r="V509" s="30"/>
      <c r="W509" s="58"/>
      <c r="X509" s="30"/>
      <c r="Y509" s="58"/>
      <c r="Z509" s="30"/>
      <c r="AA509" s="58"/>
      <c r="AB509" s="30"/>
      <c r="AC509" s="58"/>
      <c r="AD509" s="30"/>
      <c r="AE509" s="58"/>
      <c r="AF509" s="55">
        <v>30000</v>
      </c>
      <c r="AG509" s="12">
        <f>+F509++H509++J509++L509++N509++P509++R509++T509++V509++X509++Z509++AB509++AD509+0</f>
        <v>0</v>
      </c>
      <c r="AH509" s="11">
        <f>G509+I509+K509+M509+O509+Q509+S509+U509+W509+Y509+AA509+AC509+AE509+0</f>
        <v>0</v>
      </c>
      <c r="AI509" s="6"/>
    </row>
    <row r="510" spans="1:35" x14ac:dyDescent="0.2">
      <c r="A510" s="4"/>
      <c r="B510" s="17">
        <v>502</v>
      </c>
      <c r="C510" s="41" t="s">
        <v>1028</v>
      </c>
      <c r="D510" s="53"/>
      <c r="E510" s="15" t="s">
        <v>1029</v>
      </c>
      <c r="F510" s="30"/>
      <c r="G510" s="31"/>
      <c r="H510" s="30"/>
      <c r="I510" s="58"/>
      <c r="J510" s="30"/>
      <c r="K510" s="58"/>
      <c r="L510" s="30"/>
      <c r="M510" s="58"/>
      <c r="N510" s="30"/>
      <c r="O510" s="58"/>
      <c r="P510" s="30"/>
      <c r="Q510" s="58"/>
      <c r="R510" s="30"/>
      <c r="S510" s="58"/>
      <c r="T510" s="30"/>
      <c r="U510" s="58"/>
      <c r="V510" s="30"/>
      <c r="W510" s="58"/>
      <c r="X510" s="30"/>
      <c r="Y510" s="58"/>
      <c r="Z510" s="30"/>
      <c r="AA510" s="58"/>
      <c r="AB510" s="30"/>
      <c r="AC510" s="58"/>
      <c r="AD510" s="30"/>
      <c r="AE510" s="58"/>
      <c r="AF510" s="55">
        <v>50000</v>
      </c>
      <c r="AG510" s="12">
        <f>+F510++H510++J510++L510++N510++P510++R510++T510++V510++X510++Z510++AB510++AD510+0</f>
        <v>0</v>
      </c>
      <c r="AH510" s="11">
        <f>G510+I510+K510+M510+O510+Q510+S510+U510+W510+Y510+AA510+AC510+AE510+0</f>
        <v>0</v>
      </c>
      <c r="AI510" s="6"/>
    </row>
    <row r="511" spans="1:35" x14ac:dyDescent="0.2">
      <c r="A511" s="4"/>
      <c r="B511" s="17">
        <v>503</v>
      </c>
      <c r="C511" s="41" t="s">
        <v>1030</v>
      </c>
      <c r="D511" s="53"/>
      <c r="E511" s="15" t="s">
        <v>1031</v>
      </c>
      <c r="F511" s="30"/>
      <c r="G511" s="31"/>
      <c r="H511" s="30"/>
      <c r="I511" s="58"/>
      <c r="J511" s="30"/>
      <c r="K511" s="58"/>
      <c r="L511" s="30"/>
      <c r="M511" s="58"/>
      <c r="N511" s="30"/>
      <c r="O511" s="58"/>
      <c r="P511" s="30"/>
      <c r="Q511" s="58"/>
      <c r="R511" s="30"/>
      <c r="S511" s="58"/>
      <c r="T511" s="30"/>
      <c r="U511" s="58"/>
      <c r="V511" s="30"/>
      <c r="W511" s="58"/>
      <c r="X511" s="30"/>
      <c r="Y511" s="58"/>
      <c r="Z511" s="30"/>
      <c r="AA511" s="58"/>
      <c r="AB511" s="30"/>
      <c r="AC511" s="58"/>
      <c r="AD511" s="30"/>
      <c r="AE511" s="58"/>
      <c r="AF511" s="55">
        <v>50000</v>
      </c>
      <c r="AG511" s="12">
        <f>+F511++H511++J511++L511++N511++P511++R511++T511++V511++X511++Z511++AB511++AD511+0</f>
        <v>0</v>
      </c>
      <c r="AH511" s="11">
        <f>G511+I511+K511+M511+O511+Q511+S511+U511+W511+Y511+AA511+AC511+AE511+0</f>
        <v>0</v>
      </c>
      <c r="AI511" s="6"/>
    </row>
    <row r="512" spans="1:35" x14ac:dyDescent="0.2">
      <c r="A512" s="4"/>
      <c r="B512" s="17">
        <v>504</v>
      </c>
      <c r="C512" s="41" t="s">
        <v>1032</v>
      </c>
      <c r="D512" s="53"/>
      <c r="E512" s="15" t="s">
        <v>1033</v>
      </c>
      <c r="F512" s="30"/>
      <c r="G512" s="31"/>
      <c r="H512" s="30"/>
      <c r="I512" s="58"/>
      <c r="J512" s="30"/>
      <c r="K512" s="58"/>
      <c r="L512" s="30"/>
      <c r="M512" s="58"/>
      <c r="N512" s="30"/>
      <c r="O512" s="58"/>
      <c r="P512" s="30"/>
      <c r="Q512" s="58"/>
      <c r="R512" s="30"/>
      <c r="S512" s="58"/>
      <c r="T512" s="30"/>
      <c r="U512" s="58"/>
      <c r="V512" s="30"/>
      <c r="W512" s="58"/>
      <c r="X512" s="30"/>
      <c r="Y512" s="58"/>
      <c r="Z512" s="30"/>
      <c r="AA512" s="58"/>
      <c r="AB512" s="30"/>
      <c r="AC512" s="58"/>
      <c r="AD512" s="30"/>
      <c r="AE512" s="58"/>
      <c r="AF512" s="55">
        <v>5000</v>
      </c>
      <c r="AG512" s="12">
        <f>+F512++H512++J512++L512++N512++P512++R512++T512++V512++X512++Z512++AB512++AD512+0</f>
        <v>0</v>
      </c>
      <c r="AH512" s="11">
        <f>G512+I512+K512+M512+O512+Q512+S512+U512+W512+Y512+AA512+AC512+AE512+0</f>
        <v>0</v>
      </c>
      <c r="AI512" s="6"/>
    </row>
    <row r="513" spans="1:35" x14ac:dyDescent="0.2">
      <c r="A513" s="4"/>
      <c r="B513" s="17">
        <v>505</v>
      </c>
      <c r="C513" s="41" t="s">
        <v>1034</v>
      </c>
      <c r="D513" s="53"/>
      <c r="E513" s="15" t="s">
        <v>1035</v>
      </c>
      <c r="F513" s="30"/>
      <c r="G513" s="31"/>
      <c r="H513" s="30"/>
      <c r="I513" s="58"/>
      <c r="J513" s="30"/>
      <c r="K513" s="58"/>
      <c r="L513" s="30"/>
      <c r="M513" s="58"/>
      <c r="N513" s="30"/>
      <c r="O513" s="58"/>
      <c r="P513" s="30"/>
      <c r="Q513" s="58"/>
      <c r="R513" s="30"/>
      <c r="S513" s="58"/>
      <c r="T513" s="30"/>
      <c r="U513" s="58"/>
      <c r="V513" s="30"/>
      <c r="W513" s="58"/>
      <c r="X513" s="30"/>
      <c r="Y513" s="58"/>
      <c r="Z513" s="30"/>
      <c r="AA513" s="58"/>
      <c r="AB513" s="30"/>
      <c r="AC513" s="58"/>
      <c r="AD513" s="30"/>
      <c r="AE513" s="58"/>
      <c r="AF513" s="55">
        <v>100000</v>
      </c>
      <c r="AG513" s="12">
        <f>+F513++H513++J513++L513++N513++P513++R513++T513++V513++X513++Z513++AB513++AD513+0</f>
        <v>0</v>
      </c>
      <c r="AH513" s="11">
        <f>G513+I513+K513+M513+O513+Q513+S513+U513+W513+Y513+AA513+AC513+AE513+0</f>
        <v>0</v>
      </c>
      <c r="AI513" s="6"/>
    </row>
    <row r="514" spans="1:35" x14ac:dyDescent="0.2">
      <c r="A514" s="4"/>
      <c r="B514" s="17">
        <v>506</v>
      </c>
      <c r="C514" s="41" t="s">
        <v>1036</v>
      </c>
      <c r="D514" s="53"/>
      <c r="E514" s="15" t="s">
        <v>1037</v>
      </c>
      <c r="F514" s="30"/>
      <c r="G514" s="31"/>
      <c r="H514" s="30"/>
      <c r="I514" s="58"/>
      <c r="J514" s="30"/>
      <c r="K514" s="58"/>
      <c r="L514" s="30"/>
      <c r="M514" s="58"/>
      <c r="N514" s="30"/>
      <c r="O514" s="58"/>
      <c r="P514" s="30"/>
      <c r="Q514" s="58"/>
      <c r="R514" s="30"/>
      <c r="S514" s="58"/>
      <c r="T514" s="30"/>
      <c r="U514" s="58"/>
      <c r="V514" s="30"/>
      <c r="W514" s="58"/>
      <c r="X514" s="30"/>
      <c r="Y514" s="58"/>
      <c r="Z514" s="30"/>
      <c r="AA514" s="58"/>
      <c r="AB514" s="30"/>
      <c r="AC514" s="58"/>
      <c r="AD514" s="30"/>
      <c r="AE514" s="58"/>
      <c r="AF514" s="55">
        <v>-103143.21</v>
      </c>
      <c r="AG514" s="12">
        <f>+F514++H514++J514++L514++N514++P514++R514++T514++V514++X514++Z514++AB514++AD514+0</f>
        <v>0</v>
      </c>
      <c r="AH514" s="11">
        <f>G514+I514+K514+M514+O514+Q514+S514+U514+W514+Y514+AA514+AC514+AE514+0</f>
        <v>0</v>
      </c>
      <c r="AI514" s="6"/>
    </row>
    <row r="515" spans="1:35" x14ac:dyDescent="0.2">
      <c r="A515" s="4"/>
      <c r="B515" s="17">
        <v>507</v>
      </c>
      <c r="C515" s="41" t="s">
        <v>1038</v>
      </c>
      <c r="D515" s="53"/>
      <c r="E515" s="15" t="s">
        <v>1039</v>
      </c>
      <c r="F515" s="30"/>
      <c r="G515" s="31"/>
      <c r="H515" s="30"/>
      <c r="I515" s="58"/>
      <c r="J515" s="30"/>
      <c r="K515" s="58"/>
      <c r="L515" s="30"/>
      <c r="M515" s="58"/>
      <c r="N515" s="30"/>
      <c r="O515" s="58"/>
      <c r="P515" s="30"/>
      <c r="Q515" s="58"/>
      <c r="R515" s="30"/>
      <c r="S515" s="58"/>
      <c r="T515" s="30"/>
      <c r="U515" s="58"/>
      <c r="V515" s="30"/>
      <c r="W515" s="58"/>
      <c r="X515" s="30"/>
      <c r="Y515" s="58"/>
      <c r="Z515" s="30"/>
      <c r="AA515" s="58"/>
      <c r="AB515" s="30"/>
      <c r="AC515" s="58"/>
      <c r="AD515" s="30"/>
      <c r="AE515" s="58"/>
      <c r="AF515" s="55">
        <v>100000</v>
      </c>
      <c r="AG515" s="12">
        <f>+F515++H515++J515++L515++N515++P515++R515++T515++V515++X515++Z515++AB515++AD515+0</f>
        <v>0</v>
      </c>
      <c r="AH515" s="11">
        <f>G515+I515+K515+M515+O515+Q515+S515+U515+W515+Y515+AA515+AC515+AE515+0</f>
        <v>0</v>
      </c>
      <c r="AI515" s="6"/>
    </row>
    <row r="516" spans="1:35" x14ac:dyDescent="0.2">
      <c r="A516" s="4"/>
      <c r="B516" s="17">
        <v>508</v>
      </c>
      <c r="C516" s="41" t="s">
        <v>1040</v>
      </c>
      <c r="D516" s="53"/>
      <c r="E516" s="15" t="s">
        <v>1041</v>
      </c>
      <c r="F516" s="30"/>
      <c r="G516" s="31"/>
      <c r="H516" s="30"/>
      <c r="I516" s="58"/>
      <c r="J516" s="30"/>
      <c r="K516" s="58"/>
      <c r="L516" s="30"/>
      <c r="M516" s="58"/>
      <c r="N516" s="30"/>
      <c r="O516" s="58"/>
      <c r="P516" s="30"/>
      <c r="Q516" s="58"/>
      <c r="R516" s="30"/>
      <c r="S516" s="58"/>
      <c r="T516" s="30"/>
      <c r="U516" s="58"/>
      <c r="V516" s="30"/>
      <c r="W516" s="58"/>
      <c r="X516" s="30"/>
      <c r="Y516" s="58"/>
      <c r="Z516" s="30"/>
      <c r="AA516" s="58"/>
      <c r="AB516" s="30"/>
      <c r="AC516" s="58"/>
      <c r="AD516" s="30"/>
      <c r="AE516" s="58"/>
      <c r="AF516" s="55">
        <v>290000</v>
      </c>
      <c r="AG516" s="12">
        <f>+F516++H516++J516++L516++N516++P516++R516++T516++V516++X516++Z516++AB516++AD516+0</f>
        <v>0</v>
      </c>
      <c r="AH516" s="11">
        <f>G516+I516+K516+M516+O516+Q516+S516+U516+W516+Y516+AA516+AC516+AE516+0</f>
        <v>0</v>
      </c>
      <c r="AI516" s="6"/>
    </row>
    <row r="517" spans="1:35" x14ac:dyDescent="0.2">
      <c r="A517" s="4"/>
      <c r="B517" s="17">
        <v>509</v>
      </c>
      <c r="C517" s="41" t="s">
        <v>1042</v>
      </c>
      <c r="D517" s="53"/>
      <c r="E517" s="15" t="s">
        <v>1043</v>
      </c>
      <c r="F517" s="30"/>
      <c r="G517" s="31"/>
      <c r="H517" s="30"/>
      <c r="I517" s="58"/>
      <c r="J517" s="30"/>
      <c r="K517" s="58"/>
      <c r="L517" s="30"/>
      <c r="M517" s="58"/>
      <c r="N517" s="30"/>
      <c r="O517" s="58"/>
      <c r="P517" s="30"/>
      <c r="Q517" s="58"/>
      <c r="R517" s="30"/>
      <c r="S517" s="58"/>
      <c r="T517" s="30"/>
      <c r="U517" s="58"/>
      <c r="V517" s="30"/>
      <c r="W517" s="58"/>
      <c r="X517" s="30"/>
      <c r="Y517" s="58"/>
      <c r="Z517" s="30"/>
      <c r="AA517" s="58"/>
      <c r="AB517" s="30"/>
      <c r="AC517" s="58"/>
      <c r="AD517" s="30"/>
      <c r="AE517" s="58"/>
      <c r="AF517" s="55">
        <v>100000</v>
      </c>
      <c r="AG517" s="12">
        <f>+F517++H517++J517++L517++N517++P517++R517++T517++V517++X517++Z517++AB517++AD517+0</f>
        <v>0</v>
      </c>
      <c r="AH517" s="11">
        <f>G517+I517+K517+M517+O517+Q517+S517+U517+W517+Y517+AA517+AC517+AE517+0</f>
        <v>0</v>
      </c>
      <c r="AI517" s="6"/>
    </row>
    <row r="518" spans="1:35" x14ac:dyDescent="0.2">
      <c r="A518" s="4"/>
      <c r="B518" s="17">
        <v>510</v>
      </c>
      <c r="C518" s="41" t="s">
        <v>1044</v>
      </c>
      <c r="D518" s="53"/>
      <c r="E518" s="15" t="s">
        <v>1045</v>
      </c>
      <c r="F518" s="30"/>
      <c r="G518" s="31"/>
      <c r="H518" s="30"/>
      <c r="I518" s="58"/>
      <c r="J518" s="30"/>
      <c r="K518" s="58"/>
      <c r="L518" s="30"/>
      <c r="M518" s="58"/>
      <c r="N518" s="30"/>
      <c r="O518" s="58"/>
      <c r="P518" s="30"/>
      <c r="Q518" s="58"/>
      <c r="R518" s="30"/>
      <c r="S518" s="58"/>
      <c r="T518" s="30"/>
      <c r="U518" s="58"/>
      <c r="V518" s="30"/>
      <c r="W518" s="58"/>
      <c r="X518" s="30"/>
      <c r="Y518" s="58"/>
      <c r="Z518" s="30"/>
      <c r="AA518" s="58"/>
      <c r="AB518" s="30"/>
      <c r="AC518" s="58"/>
      <c r="AD518" s="30"/>
      <c r="AE518" s="58"/>
      <c r="AF518" s="55">
        <v>30000</v>
      </c>
      <c r="AG518" s="12">
        <f>+F518++H518++J518++L518++N518++P518++R518++T518++V518++X518++Z518++AB518++AD518+0</f>
        <v>0</v>
      </c>
      <c r="AH518" s="11">
        <f>G518+I518+K518+M518+O518+Q518+S518+U518+W518+Y518+AA518+AC518+AE518+0</f>
        <v>0</v>
      </c>
      <c r="AI518" s="6"/>
    </row>
    <row r="519" spans="1:35" x14ac:dyDescent="0.2">
      <c r="A519" s="4"/>
      <c r="B519" s="17">
        <v>511</v>
      </c>
      <c r="C519" s="41" t="s">
        <v>1046</v>
      </c>
      <c r="D519" s="53"/>
      <c r="E519" s="15" t="s">
        <v>1047</v>
      </c>
      <c r="F519" s="30"/>
      <c r="G519" s="31"/>
      <c r="H519" s="30"/>
      <c r="I519" s="58"/>
      <c r="J519" s="30"/>
      <c r="K519" s="58"/>
      <c r="L519" s="30"/>
      <c r="M519" s="58"/>
      <c r="N519" s="30"/>
      <c r="O519" s="58"/>
      <c r="P519" s="30"/>
      <c r="Q519" s="58"/>
      <c r="R519" s="30"/>
      <c r="S519" s="58"/>
      <c r="T519" s="30"/>
      <c r="U519" s="58"/>
      <c r="V519" s="30"/>
      <c r="W519" s="58"/>
      <c r="X519" s="30"/>
      <c r="Y519" s="58"/>
      <c r="Z519" s="30"/>
      <c r="AA519" s="58"/>
      <c r="AB519" s="30"/>
      <c r="AC519" s="58"/>
      <c r="AD519" s="30"/>
      <c r="AE519" s="58"/>
      <c r="AF519" s="55">
        <v>10000</v>
      </c>
      <c r="AG519" s="12">
        <f>+F519++H519++J519++L519++N519++P519++R519++T519++V519++X519++Z519++AB519++AD519+0</f>
        <v>0</v>
      </c>
      <c r="AH519" s="11">
        <f>G519+I519+K519+M519+O519+Q519+S519+U519+W519+Y519+AA519+AC519+AE519+0</f>
        <v>0</v>
      </c>
      <c r="AI519" s="6"/>
    </row>
    <row r="520" spans="1:35" x14ac:dyDescent="0.2">
      <c r="A520" s="4"/>
      <c r="B520" s="17">
        <v>512</v>
      </c>
      <c r="C520" s="41" t="s">
        <v>1048</v>
      </c>
      <c r="D520" s="53"/>
      <c r="E520" s="15" t="s">
        <v>1049</v>
      </c>
      <c r="F520" s="30"/>
      <c r="G520" s="31"/>
      <c r="H520" s="30"/>
      <c r="I520" s="58"/>
      <c r="J520" s="30"/>
      <c r="K520" s="58"/>
      <c r="L520" s="30"/>
      <c r="M520" s="58"/>
      <c r="N520" s="30"/>
      <c r="O520" s="58"/>
      <c r="P520" s="30"/>
      <c r="Q520" s="58"/>
      <c r="R520" s="30"/>
      <c r="S520" s="58"/>
      <c r="T520" s="30"/>
      <c r="U520" s="58"/>
      <c r="V520" s="30"/>
      <c r="W520" s="58"/>
      <c r="X520" s="30"/>
      <c r="Y520" s="58"/>
      <c r="Z520" s="30"/>
      <c r="AA520" s="58"/>
      <c r="AB520" s="30"/>
      <c r="AC520" s="58"/>
      <c r="AD520" s="30"/>
      <c r="AE520" s="58"/>
      <c r="AF520" s="55">
        <v>39000</v>
      </c>
      <c r="AG520" s="12">
        <f>+F520++H520++J520++L520++N520++P520++R520++T520++V520++X520++Z520++AB520++AD520+0</f>
        <v>0</v>
      </c>
      <c r="AH520" s="11">
        <f>G520+I520+K520+M520+O520+Q520+S520+U520+W520+Y520+AA520+AC520+AE520+0</f>
        <v>0</v>
      </c>
      <c r="AI520" s="6"/>
    </row>
    <row r="521" spans="1:35" x14ac:dyDescent="0.2">
      <c r="A521" s="4"/>
      <c r="B521" s="17">
        <v>513</v>
      </c>
      <c r="C521" s="41" t="s">
        <v>1050</v>
      </c>
      <c r="D521" s="53"/>
      <c r="E521" s="15" t="s">
        <v>1051</v>
      </c>
      <c r="F521" s="30"/>
      <c r="G521" s="31"/>
      <c r="H521" s="30"/>
      <c r="I521" s="58"/>
      <c r="J521" s="30"/>
      <c r="K521" s="58"/>
      <c r="L521" s="30"/>
      <c r="M521" s="58"/>
      <c r="N521" s="30"/>
      <c r="O521" s="58"/>
      <c r="P521" s="30"/>
      <c r="Q521" s="58"/>
      <c r="R521" s="30"/>
      <c r="S521" s="58"/>
      <c r="T521" s="30"/>
      <c r="U521" s="58"/>
      <c r="V521" s="30"/>
      <c r="W521" s="58"/>
      <c r="X521" s="30"/>
      <c r="Y521" s="58"/>
      <c r="Z521" s="30"/>
      <c r="AA521" s="58"/>
      <c r="AB521" s="30"/>
      <c r="AC521" s="58"/>
      <c r="AD521" s="30"/>
      <c r="AE521" s="58"/>
      <c r="AF521" s="55">
        <v>80000</v>
      </c>
      <c r="AG521" s="12">
        <f>+F521++H521++J521++L521++N521++P521++R521++T521++V521++X521++Z521++AB521++AD521+0</f>
        <v>0</v>
      </c>
      <c r="AH521" s="11">
        <f>G521+I521+K521+M521+O521+Q521+S521+U521+W521+Y521+AA521+AC521+AE521+0</f>
        <v>0</v>
      </c>
      <c r="AI521" s="6"/>
    </row>
    <row r="522" spans="1:35" x14ac:dyDescent="0.2">
      <c r="A522" s="4"/>
      <c r="B522" s="17">
        <v>514</v>
      </c>
      <c r="C522" s="41" t="s">
        <v>1052</v>
      </c>
      <c r="D522" s="53"/>
      <c r="E522" s="15" t="s">
        <v>1053</v>
      </c>
      <c r="F522" s="30"/>
      <c r="G522" s="31"/>
      <c r="H522" s="30"/>
      <c r="I522" s="58"/>
      <c r="J522" s="30"/>
      <c r="K522" s="58"/>
      <c r="L522" s="30"/>
      <c r="M522" s="58"/>
      <c r="N522" s="30"/>
      <c r="O522" s="58"/>
      <c r="P522" s="30"/>
      <c r="Q522" s="58"/>
      <c r="R522" s="30"/>
      <c r="S522" s="58"/>
      <c r="T522" s="30"/>
      <c r="U522" s="58"/>
      <c r="V522" s="30"/>
      <c r="W522" s="58"/>
      <c r="X522" s="30"/>
      <c r="Y522" s="58"/>
      <c r="Z522" s="30"/>
      <c r="AA522" s="58"/>
      <c r="AB522" s="30"/>
      <c r="AC522" s="58"/>
      <c r="AD522" s="30"/>
      <c r="AE522" s="58"/>
      <c r="AF522" s="55">
        <v>200000</v>
      </c>
      <c r="AG522" s="12">
        <f>+F522++H522++J522++L522++N522++P522++R522++T522++V522++X522++Z522++AB522++AD522+0</f>
        <v>0</v>
      </c>
      <c r="AH522" s="11">
        <f>G522+I522+K522+M522+O522+Q522+S522+U522+W522+Y522+AA522+AC522+AE522+0</f>
        <v>0</v>
      </c>
      <c r="AI522" s="6"/>
    </row>
    <row r="523" spans="1:35" x14ac:dyDescent="0.2">
      <c r="A523" s="4"/>
      <c r="B523" s="17">
        <v>515</v>
      </c>
      <c r="C523" s="41" t="s">
        <v>1054</v>
      </c>
      <c r="D523" s="53"/>
      <c r="E523" s="15" t="s">
        <v>1055</v>
      </c>
      <c r="F523" s="30"/>
      <c r="G523" s="31"/>
      <c r="H523" s="30"/>
      <c r="I523" s="58"/>
      <c r="J523" s="30"/>
      <c r="K523" s="58"/>
      <c r="L523" s="30"/>
      <c r="M523" s="58"/>
      <c r="N523" s="30"/>
      <c r="O523" s="58"/>
      <c r="P523" s="30"/>
      <c r="Q523" s="58"/>
      <c r="R523" s="30"/>
      <c r="S523" s="58"/>
      <c r="T523" s="30"/>
      <c r="U523" s="58"/>
      <c r="V523" s="30"/>
      <c r="W523" s="58"/>
      <c r="X523" s="30"/>
      <c r="Y523" s="58"/>
      <c r="Z523" s="30"/>
      <c r="AA523" s="58"/>
      <c r="AB523" s="30"/>
      <c r="AC523" s="58"/>
      <c r="AD523" s="30"/>
      <c r="AE523" s="58"/>
      <c r="AF523" s="55">
        <v>20000</v>
      </c>
      <c r="AG523" s="12">
        <f>+F523++H523++J523++L523++N523++P523++R523++T523++V523++X523++Z523++AB523++AD523+0</f>
        <v>0</v>
      </c>
      <c r="AH523" s="11">
        <f>G523+I523+K523+M523+O523+Q523+S523+U523+W523+Y523+AA523+AC523+AE523+0</f>
        <v>0</v>
      </c>
      <c r="AI523" s="6"/>
    </row>
    <row r="524" spans="1:35" x14ac:dyDescent="0.2">
      <c r="A524" s="4"/>
      <c r="B524" s="17">
        <v>516</v>
      </c>
      <c r="C524" s="41" t="s">
        <v>1056</v>
      </c>
      <c r="D524" s="53"/>
      <c r="E524" s="15" t="s">
        <v>1057</v>
      </c>
      <c r="F524" s="30"/>
      <c r="G524" s="31"/>
      <c r="H524" s="30"/>
      <c r="I524" s="58"/>
      <c r="J524" s="30"/>
      <c r="K524" s="58"/>
      <c r="L524" s="30"/>
      <c r="M524" s="58"/>
      <c r="N524" s="30"/>
      <c r="O524" s="58"/>
      <c r="P524" s="30"/>
      <c r="Q524" s="58"/>
      <c r="R524" s="30"/>
      <c r="S524" s="58"/>
      <c r="T524" s="30"/>
      <c r="U524" s="58"/>
      <c r="V524" s="30"/>
      <c r="W524" s="58"/>
      <c r="X524" s="30"/>
      <c r="Y524" s="58"/>
      <c r="Z524" s="30"/>
      <c r="AA524" s="58"/>
      <c r="AB524" s="30"/>
      <c r="AC524" s="58"/>
      <c r="AD524" s="30"/>
      <c r="AE524" s="58"/>
      <c r="AF524" s="55">
        <v>30000</v>
      </c>
      <c r="AG524" s="12">
        <f>+F524++H524++J524++L524++N524++P524++R524++T524++V524++X524++Z524++AB524++AD524+0</f>
        <v>0</v>
      </c>
      <c r="AH524" s="11">
        <f>G524+I524+K524+M524+O524+Q524+S524+U524+W524+Y524+AA524+AC524+AE524+0</f>
        <v>0</v>
      </c>
      <c r="AI524" s="6"/>
    </row>
    <row r="525" spans="1:35" x14ac:dyDescent="0.2">
      <c r="A525" s="4"/>
      <c r="B525" s="17">
        <v>517</v>
      </c>
      <c r="C525" s="41" t="s">
        <v>1058</v>
      </c>
      <c r="D525" s="53"/>
      <c r="E525" s="15" t="s">
        <v>1059</v>
      </c>
      <c r="F525" s="30"/>
      <c r="G525" s="31"/>
      <c r="H525" s="30"/>
      <c r="I525" s="58"/>
      <c r="J525" s="30"/>
      <c r="K525" s="58"/>
      <c r="L525" s="30"/>
      <c r="M525" s="58"/>
      <c r="N525" s="30"/>
      <c r="O525" s="58"/>
      <c r="P525" s="30"/>
      <c r="Q525" s="58"/>
      <c r="R525" s="30"/>
      <c r="S525" s="58"/>
      <c r="T525" s="30"/>
      <c r="U525" s="58"/>
      <c r="V525" s="30"/>
      <c r="W525" s="58"/>
      <c r="X525" s="30"/>
      <c r="Y525" s="58"/>
      <c r="Z525" s="30"/>
      <c r="AA525" s="58"/>
      <c r="AB525" s="30"/>
      <c r="AC525" s="58"/>
      <c r="AD525" s="30"/>
      <c r="AE525" s="58"/>
      <c r="AF525" s="55">
        <v>15000</v>
      </c>
      <c r="AG525" s="12">
        <f>+F525++H525++J525++L525++N525++P525++R525++T525++V525++X525++Z525++AB525++AD525+0</f>
        <v>0</v>
      </c>
      <c r="AH525" s="11">
        <f>G525+I525+K525+M525+O525+Q525+S525+U525+W525+Y525+AA525+AC525+AE525+0</f>
        <v>0</v>
      </c>
      <c r="AI525" s="6"/>
    </row>
    <row r="526" spans="1:35" x14ac:dyDescent="0.2">
      <c r="A526" s="4"/>
      <c r="B526" s="17">
        <v>518</v>
      </c>
      <c r="C526" s="41" t="s">
        <v>1060</v>
      </c>
      <c r="D526" s="53"/>
      <c r="E526" s="15" t="s">
        <v>1061</v>
      </c>
      <c r="F526" s="30"/>
      <c r="G526" s="31"/>
      <c r="H526" s="30"/>
      <c r="I526" s="58"/>
      <c r="J526" s="30"/>
      <c r="K526" s="58"/>
      <c r="L526" s="30"/>
      <c r="M526" s="58"/>
      <c r="N526" s="30"/>
      <c r="O526" s="58"/>
      <c r="P526" s="30"/>
      <c r="Q526" s="58"/>
      <c r="R526" s="30"/>
      <c r="S526" s="58"/>
      <c r="T526" s="30"/>
      <c r="U526" s="58"/>
      <c r="V526" s="30"/>
      <c r="W526" s="58"/>
      <c r="X526" s="30"/>
      <c r="Y526" s="58"/>
      <c r="Z526" s="30"/>
      <c r="AA526" s="58"/>
      <c r="AB526" s="30"/>
      <c r="AC526" s="58"/>
      <c r="AD526" s="30"/>
      <c r="AE526" s="58"/>
      <c r="AF526" s="55">
        <v>60000</v>
      </c>
      <c r="AG526" s="12">
        <f>+F526++H526++J526++L526++N526++P526++R526++T526++V526++X526++Z526++AB526++AD526+0</f>
        <v>0</v>
      </c>
      <c r="AH526" s="11">
        <f>G526+I526+K526+M526+O526+Q526+S526+U526+W526+Y526+AA526+AC526+AE526+0</f>
        <v>0</v>
      </c>
      <c r="AI526" s="6"/>
    </row>
    <row r="527" spans="1:35" x14ac:dyDescent="0.2">
      <c r="A527" s="4"/>
      <c r="B527" s="17">
        <v>519</v>
      </c>
      <c r="C527" s="41" t="s">
        <v>1062</v>
      </c>
      <c r="D527" s="53"/>
      <c r="E527" s="15" t="s">
        <v>1063</v>
      </c>
      <c r="F527" s="30"/>
      <c r="G527" s="31"/>
      <c r="H527" s="30"/>
      <c r="I527" s="58"/>
      <c r="J527" s="30"/>
      <c r="K527" s="58"/>
      <c r="L527" s="30"/>
      <c r="M527" s="58"/>
      <c r="N527" s="30"/>
      <c r="O527" s="58"/>
      <c r="P527" s="30"/>
      <c r="Q527" s="58"/>
      <c r="R527" s="30"/>
      <c r="S527" s="58"/>
      <c r="T527" s="30"/>
      <c r="U527" s="58"/>
      <c r="V527" s="30"/>
      <c r="W527" s="58"/>
      <c r="X527" s="30"/>
      <c r="Y527" s="58"/>
      <c r="Z527" s="30"/>
      <c r="AA527" s="58"/>
      <c r="AB527" s="30"/>
      <c r="AC527" s="58"/>
      <c r="AD527" s="30"/>
      <c r="AE527" s="58"/>
      <c r="AF527" s="55">
        <v>40000</v>
      </c>
      <c r="AG527" s="12">
        <f>+F527++H527++J527++L527++N527++P527++R527++T527++V527++X527++Z527++AB527++AD527+0</f>
        <v>0</v>
      </c>
      <c r="AH527" s="11">
        <f>G527+I527+K527+M527+O527+Q527+S527+U527+W527+Y527+AA527+AC527+AE527+0</f>
        <v>0</v>
      </c>
      <c r="AI527" s="6"/>
    </row>
    <row r="528" spans="1:35" x14ac:dyDescent="0.2">
      <c r="A528" s="4"/>
      <c r="B528" s="17">
        <v>520</v>
      </c>
      <c r="C528" s="41" t="s">
        <v>1064</v>
      </c>
      <c r="D528" s="53"/>
      <c r="E528" s="15" t="s">
        <v>1065</v>
      </c>
      <c r="F528" s="30"/>
      <c r="G528" s="31"/>
      <c r="H528" s="30"/>
      <c r="I528" s="58"/>
      <c r="J528" s="30"/>
      <c r="K528" s="58"/>
      <c r="L528" s="30"/>
      <c r="M528" s="58"/>
      <c r="N528" s="30"/>
      <c r="O528" s="58"/>
      <c r="P528" s="30"/>
      <c r="Q528" s="58"/>
      <c r="R528" s="30"/>
      <c r="S528" s="58"/>
      <c r="T528" s="30"/>
      <c r="U528" s="58"/>
      <c r="V528" s="30"/>
      <c r="W528" s="58"/>
      <c r="X528" s="30"/>
      <c r="Y528" s="58"/>
      <c r="Z528" s="30"/>
      <c r="AA528" s="58"/>
      <c r="AB528" s="30"/>
      <c r="AC528" s="58"/>
      <c r="AD528" s="30"/>
      <c r="AE528" s="58"/>
      <c r="AF528" s="55">
        <v>100000</v>
      </c>
      <c r="AG528" s="12">
        <f>+F528++H528++J528++L528++N528++P528++R528++T528++V528++X528++Z528++AB528++AD528+0</f>
        <v>0</v>
      </c>
      <c r="AH528" s="11">
        <f>G528+I528+K528+M528+O528+Q528+S528+U528+W528+Y528+AA528+AC528+AE528+0</f>
        <v>0</v>
      </c>
      <c r="AI528" s="6"/>
    </row>
    <row r="529" spans="1:35" x14ac:dyDescent="0.2">
      <c r="A529" s="4"/>
      <c r="B529" s="17">
        <v>521</v>
      </c>
      <c r="C529" s="41" t="s">
        <v>1066</v>
      </c>
      <c r="D529" s="53"/>
      <c r="E529" s="15" t="s">
        <v>1067</v>
      </c>
      <c r="F529" s="30"/>
      <c r="G529" s="31"/>
      <c r="H529" s="30"/>
      <c r="I529" s="58"/>
      <c r="J529" s="30"/>
      <c r="K529" s="58"/>
      <c r="L529" s="30"/>
      <c r="M529" s="58"/>
      <c r="N529" s="30"/>
      <c r="O529" s="58"/>
      <c r="P529" s="30"/>
      <c r="Q529" s="58"/>
      <c r="R529" s="30"/>
      <c r="S529" s="58"/>
      <c r="T529" s="30"/>
      <c r="U529" s="58"/>
      <c r="V529" s="30"/>
      <c r="W529" s="58"/>
      <c r="X529" s="30"/>
      <c r="Y529" s="58"/>
      <c r="Z529" s="30"/>
      <c r="AA529" s="58"/>
      <c r="AB529" s="30"/>
      <c r="AC529" s="58"/>
      <c r="AD529" s="30"/>
      <c r="AE529" s="58"/>
      <c r="AF529" s="55">
        <v>15000</v>
      </c>
      <c r="AG529" s="12">
        <f>+F529++H529++J529++L529++N529++P529++R529++T529++V529++X529++Z529++AB529++AD529+0</f>
        <v>0</v>
      </c>
      <c r="AH529" s="11">
        <f>G529+I529+K529+M529+O529+Q529+S529+U529+W529+Y529+AA529+AC529+AE529+0</f>
        <v>0</v>
      </c>
      <c r="AI529" s="6"/>
    </row>
    <row r="530" spans="1:35" x14ac:dyDescent="0.2">
      <c r="A530" s="4"/>
      <c r="B530" s="17">
        <v>522</v>
      </c>
      <c r="C530" s="41" t="s">
        <v>1068</v>
      </c>
      <c r="D530" s="53"/>
      <c r="E530" s="15" t="s">
        <v>1069</v>
      </c>
      <c r="F530" s="30"/>
      <c r="G530" s="31"/>
      <c r="H530" s="30"/>
      <c r="I530" s="58"/>
      <c r="J530" s="30"/>
      <c r="K530" s="58"/>
      <c r="L530" s="30"/>
      <c r="M530" s="58"/>
      <c r="N530" s="30"/>
      <c r="O530" s="58"/>
      <c r="P530" s="30"/>
      <c r="Q530" s="58"/>
      <c r="R530" s="30"/>
      <c r="S530" s="58"/>
      <c r="T530" s="30"/>
      <c r="U530" s="58"/>
      <c r="V530" s="30"/>
      <c r="W530" s="58"/>
      <c r="X530" s="30"/>
      <c r="Y530" s="58"/>
      <c r="Z530" s="30"/>
      <c r="AA530" s="58"/>
      <c r="AB530" s="30"/>
      <c r="AC530" s="58"/>
      <c r="AD530" s="30"/>
      <c r="AE530" s="58"/>
      <c r="AF530" s="55">
        <v>20000</v>
      </c>
      <c r="AG530" s="12">
        <f>+F530++H530++J530++L530++N530++P530++R530++T530++V530++X530++Z530++AB530++AD530+0</f>
        <v>0</v>
      </c>
      <c r="AH530" s="11">
        <f>G530+I530+K530+M530+O530+Q530+S530+U530+W530+Y530+AA530+AC530+AE530+0</f>
        <v>0</v>
      </c>
      <c r="AI530" s="6"/>
    </row>
    <row r="531" spans="1:35" x14ac:dyDescent="0.2">
      <c r="A531" s="4"/>
      <c r="B531" s="17">
        <v>523</v>
      </c>
      <c r="C531" s="41" t="s">
        <v>1070</v>
      </c>
      <c r="D531" s="53"/>
      <c r="E531" s="15" t="s">
        <v>1071</v>
      </c>
      <c r="F531" s="30"/>
      <c r="G531" s="31"/>
      <c r="H531" s="30"/>
      <c r="I531" s="58"/>
      <c r="J531" s="30"/>
      <c r="K531" s="58"/>
      <c r="L531" s="30"/>
      <c r="M531" s="58"/>
      <c r="N531" s="30"/>
      <c r="O531" s="58"/>
      <c r="P531" s="30"/>
      <c r="Q531" s="58"/>
      <c r="R531" s="30"/>
      <c r="S531" s="58"/>
      <c r="T531" s="30"/>
      <c r="U531" s="58"/>
      <c r="V531" s="30"/>
      <c r="W531" s="58"/>
      <c r="X531" s="30"/>
      <c r="Y531" s="58"/>
      <c r="Z531" s="30"/>
      <c r="AA531" s="58"/>
      <c r="AB531" s="30"/>
      <c r="AC531" s="58"/>
      <c r="AD531" s="30"/>
      <c r="AE531" s="58"/>
      <c r="AF531" s="55">
        <v>30000</v>
      </c>
      <c r="AG531" s="12">
        <f>+F531++H531++J531++L531++N531++P531++R531++T531++V531++X531++Z531++AB531++AD531+0</f>
        <v>0</v>
      </c>
      <c r="AH531" s="11">
        <f>G531+I531+K531+M531+O531+Q531+S531+U531+W531+Y531+AA531+AC531+AE531+0</f>
        <v>0</v>
      </c>
      <c r="AI531" s="6"/>
    </row>
    <row r="532" spans="1:35" x14ac:dyDescent="0.2">
      <c r="A532" s="4"/>
      <c r="B532" s="17">
        <v>524</v>
      </c>
      <c r="C532" s="41" t="s">
        <v>1072</v>
      </c>
      <c r="D532" s="53"/>
      <c r="E532" s="15" t="s">
        <v>1073</v>
      </c>
      <c r="F532" s="30"/>
      <c r="G532" s="31"/>
      <c r="H532" s="30"/>
      <c r="I532" s="58"/>
      <c r="J532" s="30"/>
      <c r="K532" s="58"/>
      <c r="L532" s="30"/>
      <c r="M532" s="58"/>
      <c r="N532" s="30"/>
      <c r="O532" s="58"/>
      <c r="P532" s="30"/>
      <c r="Q532" s="58"/>
      <c r="R532" s="30"/>
      <c r="S532" s="58"/>
      <c r="T532" s="30"/>
      <c r="U532" s="58"/>
      <c r="V532" s="30"/>
      <c r="W532" s="58"/>
      <c r="X532" s="30"/>
      <c r="Y532" s="58"/>
      <c r="Z532" s="30"/>
      <c r="AA532" s="58"/>
      <c r="AB532" s="30"/>
      <c r="AC532" s="58"/>
      <c r="AD532" s="30"/>
      <c r="AE532" s="58"/>
      <c r="AF532" s="55">
        <v>20000</v>
      </c>
      <c r="AG532" s="12">
        <f>+F532++H532++J532++L532++N532++P532++R532++T532++V532++X532++Z532++AB532++AD532+0</f>
        <v>0</v>
      </c>
      <c r="AH532" s="11">
        <f>G532+I532+K532+M532+O532+Q532+S532+U532+W532+Y532+AA532+AC532+AE532+0</f>
        <v>0</v>
      </c>
      <c r="AI532" s="6"/>
    </row>
    <row r="533" spans="1:35" x14ac:dyDescent="0.2">
      <c r="A533" s="4"/>
      <c r="B533" s="17">
        <v>525</v>
      </c>
      <c r="C533" s="41" t="s">
        <v>1074</v>
      </c>
      <c r="D533" s="53"/>
      <c r="E533" s="15" t="s">
        <v>1075</v>
      </c>
      <c r="F533" s="30"/>
      <c r="G533" s="31"/>
      <c r="H533" s="30"/>
      <c r="I533" s="58"/>
      <c r="J533" s="30"/>
      <c r="K533" s="58"/>
      <c r="L533" s="30"/>
      <c r="M533" s="58"/>
      <c r="N533" s="30"/>
      <c r="O533" s="58"/>
      <c r="P533" s="30"/>
      <c r="Q533" s="58"/>
      <c r="R533" s="30"/>
      <c r="S533" s="58"/>
      <c r="T533" s="30"/>
      <c r="U533" s="58"/>
      <c r="V533" s="30"/>
      <c r="W533" s="58"/>
      <c r="X533" s="30"/>
      <c r="Y533" s="58"/>
      <c r="Z533" s="30"/>
      <c r="AA533" s="58"/>
      <c r="AB533" s="30"/>
      <c r="AC533" s="58"/>
      <c r="AD533" s="30"/>
      <c r="AE533" s="58"/>
      <c r="AF533" s="55">
        <v>400000</v>
      </c>
      <c r="AG533" s="12">
        <f>+F533++H533++J533++L533++N533++P533++R533++T533++V533++X533++Z533++AB533++AD533+0</f>
        <v>0</v>
      </c>
      <c r="AH533" s="11">
        <f>G533+I533+K533+M533+O533+Q533+S533+U533+W533+Y533+AA533+AC533+AE533+0</f>
        <v>0</v>
      </c>
      <c r="AI533" s="6"/>
    </row>
    <row r="534" spans="1:35" x14ac:dyDescent="0.2">
      <c r="A534" s="4"/>
      <c r="B534" s="17">
        <v>526</v>
      </c>
      <c r="C534" s="41" t="s">
        <v>1076</v>
      </c>
      <c r="D534" s="53"/>
      <c r="E534" s="15" t="s">
        <v>1077</v>
      </c>
      <c r="F534" s="30"/>
      <c r="G534" s="31"/>
      <c r="H534" s="30"/>
      <c r="I534" s="58"/>
      <c r="J534" s="30"/>
      <c r="K534" s="58"/>
      <c r="L534" s="30"/>
      <c r="M534" s="58"/>
      <c r="N534" s="30"/>
      <c r="O534" s="58"/>
      <c r="P534" s="30"/>
      <c r="Q534" s="58"/>
      <c r="R534" s="30"/>
      <c r="S534" s="58"/>
      <c r="T534" s="30"/>
      <c r="U534" s="58"/>
      <c r="V534" s="30"/>
      <c r="W534" s="58"/>
      <c r="X534" s="30"/>
      <c r="Y534" s="58"/>
      <c r="Z534" s="30"/>
      <c r="AA534" s="58"/>
      <c r="AB534" s="30"/>
      <c r="AC534" s="58"/>
      <c r="AD534" s="30"/>
      <c r="AE534" s="58"/>
      <c r="AF534" s="55">
        <v>90000</v>
      </c>
      <c r="AG534" s="12">
        <f>+F534++H534++J534++L534++N534++P534++R534++T534++V534++X534++Z534++AB534++AD534+0</f>
        <v>0</v>
      </c>
      <c r="AH534" s="11">
        <f>G534+I534+K534+M534+O534+Q534+S534+U534+W534+Y534+AA534+AC534+AE534+0</f>
        <v>0</v>
      </c>
      <c r="AI534" s="6"/>
    </row>
    <row r="535" spans="1:35" x14ac:dyDescent="0.2">
      <c r="A535" s="4"/>
      <c r="B535" s="17">
        <v>527</v>
      </c>
      <c r="C535" s="41" t="s">
        <v>1078</v>
      </c>
      <c r="D535" s="53"/>
      <c r="E535" s="15" t="s">
        <v>1079</v>
      </c>
      <c r="F535" s="30"/>
      <c r="G535" s="31"/>
      <c r="H535" s="30"/>
      <c r="I535" s="58"/>
      <c r="J535" s="30"/>
      <c r="K535" s="58"/>
      <c r="L535" s="30"/>
      <c r="M535" s="58"/>
      <c r="N535" s="30"/>
      <c r="O535" s="58"/>
      <c r="P535" s="30"/>
      <c r="Q535" s="58"/>
      <c r="R535" s="30"/>
      <c r="S535" s="58"/>
      <c r="T535" s="30"/>
      <c r="U535" s="58"/>
      <c r="V535" s="30"/>
      <c r="W535" s="58"/>
      <c r="X535" s="30"/>
      <c r="Y535" s="58"/>
      <c r="Z535" s="30"/>
      <c r="AA535" s="58"/>
      <c r="AB535" s="30"/>
      <c r="AC535" s="58"/>
      <c r="AD535" s="30"/>
      <c r="AE535" s="58"/>
      <c r="AF535" s="55">
        <v>13000</v>
      </c>
      <c r="AG535" s="12">
        <f>+F535++H535++J535++L535++N535++P535++R535++T535++V535++X535++Z535++AB535++AD535+0</f>
        <v>0</v>
      </c>
      <c r="AH535" s="11">
        <f>G535+I535+K535+M535+O535+Q535+S535+U535+W535+Y535+AA535+AC535+AE535+0</f>
        <v>0</v>
      </c>
      <c r="AI535" s="6"/>
    </row>
    <row r="536" spans="1:35" x14ac:dyDescent="0.2">
      <c r="A536" s="4"/>
      <c r="B536" s="17">
        <v>528</v>
      </c>
      <c r="C536" s="41" t="s">
        <v>1080</v>
      </c>
      <c r="D536" s="53"/>
      <c r="E536" s="15" t="s">
        <v>1081</v>
      </c>
      <c r="F536" s="30"/>
      <c r="G536" s="31"/>
      <c r="H536" s="30"/>
      <c r="I536" s="58"/>
      <c r="J536" s="30"/>
      <c r="K536" s="58"/>
      <c r="L536" s="30"/>
      <c r="M536" s="58"/>
      <c r="N536" s="30"/>
      <c r="O536" s="58"/>
      <c r="P536" s="30"/>
      <c r="Q536" s="58"/>
      <c r="R536" s="30"/>
      <c r="S536" s="58"/>
      <c r="T536" s="30"/>
      <c r="U536" s="58"/>
      <c r="V536" s="30"/>
      <c r="W536" s="58"/>
      <c r="X536" s="30"/>
      <c r="Y536" s="58"/>
      <c r="Z536" s="30"/>
      <c r="AA536" s="58"/>
      <c r="AB536" s="30"/>
      <c r="AC536" s="58"/>
      <c r="AD536" s="30"/>
      <c r="AE536" s="58"/>
      <c r="AF536" s="55">
        <v>25000</v>
      </c>
      <c r="AG536" s="12">
        <f>+F536++H536++J536++L536++N536++P536++R536++T536++V536++X536++Z536++AB536++AD536+0</f>
        <v>0</v>
      </c>
      <c r="AH536" s="11">
        <f>G536+I536+K536+M536+O536+Q536+S536+U536+W536+Y536+AA536+AC536+AE536+0</f>
        <v>0</v>
      </c>
      <c r="AI536" s="6"/>
    </row>
    <row r="537" spans="1:35" x14ac:dyDescent="0.2">
      <c r="A537" s="4"/>
      <c r="B537" s="17">
        <v>529</v>
      </c>
      <c r="C537" s="41" t="s">
        <v>1082</v>
      </c>
      <c r="D537" s="53"/>
      <c r="E537" s="15" t="s">
        <v>1083</v>
      </c>
      <c r="F537" s="30"/>
      <c r="G537" s="31"/>
      <c r="H537" s="30"/>
      <c r="I537" s="58"/>
      <c r="J537" s="30"/>
      <c r="K537" s="58"/>
      <c r="L537" s="30"/>
      <c r="M537" s="58"/>
      <c r="N537" s="30"/>
      <c r="O537" s="58"/>
      <c r="P537" s="30"/>
      <c r="Q537" s="58"/>
      <c r="R537" s="30"/>
      <c r="S537" s="58"/>
      <c r="T537" s="30"/>
      <c r="U537" s="58"/>
      <c r="V537" s="30"/>
      <c r="W537" s="58"/>
      <c r="X537" s="30"/>
      <c r="Y537" s="58"/>
      <c r="Z537" s="30"/>
      <c r="AA537" s="58"/>
      <c r="AB537" s="30"/>
      <c r="AC537" s="58"/>
      <c r="AD537" s="30"/>
      <c r="AE537" s="58"/>
      <c r="AF537" s="55">
        <v>10000</v>
      </c>
      <c r="AG537" s="12">
        <f>+F537++H537++J537++L537++N537++P537++R537++T537++V537++X537++Z537++AB537++AD537+0</f>
        <v>0</v>
      </c>
      <c r="AH537" s="11">
        <f>G537+I537+K537+M537+O537+Q537+S537+U537+W537+Y537+AA537+AC537+AE537+0</f>
        <v>0</v>
      </c>
      <c r="AI537" s="6"/>
    </row>
    <row r="538" spans="1:35" x14ac:dyDescent="0.2">
      <c r="A538" s="4"/>
      <c r="B538" s="17">
        <v>530</v>
      </c>
      <c r="C538" s="41" t="s">
        <v>1084</v>
      </c>
      <c r="D538" s="53"/>
      <c r="E538" s="15" t="s">
        <v>1085</v>
      </c>
      <c r="F538" s="30"/>
      <c r="G538" s="31"/>
      <c r="H538" s="30"/>
      <c r="I538" s="58"/>
      <c r="J538" s="30"/>
      <c r="K538" s="58"/>
      <c r="L538" s="30"/>
      <c r="M538" s="58"/>
      <c r="N538" s="30"/>
      <c r="O538" s="58"/>
      <c r="P538" s="30"/>
      <c r="Q538" s="58"/>
      <c r="R538" s="30"/>
      <c r="S538" s="58"/>
      <c r="T538" s="30"/>
      <c r="U538" s="58"/>
      <c r="V538" s="30"/>
      <c r="W538" s="58"/>
      <c r="X538" s="30"/>
      <c r="Y538" s="58"/>
      <c r="Z538" s="30"/>
      <c r="AA538" s="58"/>
      <c r="AB538" s="30"/>
      <c r="AC538" s="58"/>
      <c r="AD538" s="30"/>
      <c r="AE538" s="58"/>
      <c r="AF538" s="55">
        <v>300000</v>
      </c>
      <c r="AG538" s="12">
        <f>+F538++H538++J538++L538++N538++P538++R538++T538++V538++X538++Z538++AB538++AD538+0</f>
        <v>0</v>
      </c>
      <c r="AH538" s="11">
        <f>G538+I538+K538+M538+O538+Q538+S538+U538+W538+Y538+AA538+AC538+AE538+0</f>
        <v>0</v>
      </c>
      <c r="AI538" s="6"/>
    </row>
    <row r="539" spans="1:35" x14ac:dyDescent="0.2">
      <c r="A539" s="4"/>
      <c r="B539" s="17">
        <v>531</v>
      </c>
      <c r="C539" s="41" t="s">
        <v>1086</v>
      </c>
      <c r="D539" s="53"/>
      <c r="E539" s="15" t="s">
        <v>1087</v>
      </c>
      <c r="F539" s="30"/>
      <c r="G539" s="31"/>
      <c r="H539" s="30"/>
      <c r="I539" s="58"/>
      <c r="J539" s="30"/>
      <c r="K539" s="58"/>
      <c r="L539" s="30"/>
      <c r="M539" s="58"/>
      <c r="N539" s="30"/>
      <c r="O539" s="58"/>
      <c r="P539" s="30"/>
      <c r="Q539" s="58"/>
      <c r="R539" s="30"/>
      <c r="S539" s="58"/>
      <c r="T539" s="30"/>
      <c r="U539" s="58"/>
      <c r="V539" s="30"/>
      <c r="W539" s="58"/>
      <c r="X539" s="30"/>
      <c r="Y539" s="58"/>
      <c r="Z539" s="30"/>
      <c r="AA539" s="58"/>
      <c r="AB539" s="30"/>
      <c r="AC539" s="58"/>
      <c r="AD539" s="30"/>
      <c r="AE539" s="58"/>
      <c r="AF539" s="55">
        <v>15250</v>
      </c>
      <c r="AG539" s="12">
        <f>+F539++H539++J539++L539++N539++P539++R539++T539++V539++X539++Z539++AB539++AD539+0</f>
        <v>0</v>
      </c>
      <c r="AH539" s="11">
        <f>G539+I539+K539+M539+O539+Q539+S539+U539+W539+Y539+AA539+AC539+AE539+0</f>
        <v>0</v>
      </c>
      <c r="AI539" s="6"/>
    </row>
    <row r="540" spans="1:35" x14ac:dyDescent="0.2">
      <c r="A540" s="4"/>
      <c r="B540" s="17">
        <v>532</v>
      </c>
      <c r="C540" s="41" t="s">
        <v>1088</v>
      </c>
      <c r="D540" s="53"/>
      <c r="E540" s="15" t="s">
        <v>1089</v>
      </c>
      <c r="F540" s="30"/>
      <c r="G540" s="31"/>
      <c r="H540" s="30"/>
      <c r="I540" s="58"/>
      <c r="J540" s="30"/>
      <c r="K540" s="58"/>
      <c r="L540" s="30"/>
      <c r="M540" s="58"/>
      <c r="N540" s="30"/>
      <c r="O540" s="58"/>
      <c r="P540" s="30"/>
      <c r="Q540" s="58"/>
      <c r="R540" s="30"/>
      <c r="S540" s="58"/>
      <c r="T540" s="30"/>
      <c r="U540" s="58"/>
      <c r="V540" s="30"/>
      <c r="W540" s="58"/>
      <c r="X540" s="30"/>
      <c r="Y540" s="58"/>
      <c r="Z540" s="30"/>
      <c r="AA540" s="58"/>
      <c r="AB540" s="30"/>
      <c r="AC540" s="58"/>
      <c r="AD540" s="30"/>
      <c r="AE540" s="58"/>
      <c r="AF540" s="55">
        <v>10000</v>
      </c>
      <c r="AG540" s="12">
        <f>+F540++H540++J540++L540++N540++P540++R540++T540++V540++X540++Z540++AB540++AD540+0</f>
        <v>0</v>
      </c>
      <c r="AH540" s="11">
        <f>G540+I540+K540+M540+O540+Q540+S540+U540+W540+Y540+AA540+AC540+AE540+0</f>
        <v>0</v>
      </c>
      <c r="AI540" s="6"/>
    </row>
    <row r="541" spans="1:35" x14ac:dyDescent="0.2">
      <c r="A541" s="4"/>
      <c r="B541" s="17">
        <v>533</v>
      </c>
      <c r="C541" s="41" t="s">
        <v>1090</v>
      </c>
      <c r="D541" s="53"/>
      <c r="E541" s="15" t="s">
        <v>1091</v>
      </c>
      <c r="F541" s="30"/>
      <c r="G541" s="31"/>
      <c r="H541" s="30"/>
      <c r="I541" s="58"/>
      <c r="J541" s="30"/>
      <c r="K541" s="58"/>
      <c r="L541" s="30"/>
      <c r="M541" s="58"/>
      <c r="N541" s="30"/>
      <c r="O541" s="58"/>
      <c r="P541" s="30"/>
      <c r="Q541" s="58"/>
      <c r="R541" s="30"/>
      <c r="S541" s="58"/>
      <c r="T541" s="30"/>
      <c r="U541" s="58"/>
      <c r="V541" s="30"/>
      <c r="W541" s="58"/>
      <c r="X541" s="30"/>
      <c r="Y541" s="58"/>
      <c r="Z541" s="30"/>
      <c r="AA541" s="58"/>
      <c r="AB541" s="30"/>
      <c r="AC541" s="58"/>
      <c r="AD541" s="30"/>
      <c r="AE541" s="58"/>
      <c r="AF541" s="55">
        <v>50000</v>
      </c>
      <c r="AG541" s="12">
        <f>+F541++H541++J541++L541++N541++P541++R541++T541++V541++X541++Z541++AB541++AD541+0</f>
        <v>0</v>
      </c>
      <c r="AH541" s="11">
        <f>G541+I541+K541+M541+O541+Q541+S541+U541+W541+Y541+AA541+AC541+AE541+0</f>
        <v>0</v>
      </c>
      <c r="AI541" s="6"/>
    </row>
    <row r="542" spans="1:35" x14ac:dyDescent="0.2">
      <c r="A542" s="4"/>
      <c r="B542" s="17">
        <v>534</v>
      </c>
      <c r="C542" s="41" t="s">
        <v>1092</v>
      </c>
      <c r="D542" s="53"/>
      <c r="E542" s="15" t="s">
        <v>1093</v>
      </c>
      <c r="F542" s="30"/>
      <c r="G542" s="31"/>
      <c r="H542" s="30"/>
      <c r="I542" s="58"/>
      <c r="J542" s="30"/>
      <c r="K542" s="58"/>
      <c r="L542" s="30"/>
      <c r="M542" s="58"/>
      <c r="N542" s="30"/>
      <c r="O542" s="58"/>
      <c r="P542" s="30"/>
      <c r="Q542" s="58"/>
      <c r="R542" s="30"/>
      <c r="S542" s="58"/>
      <c r="T542" s="30"/>
      <c r="U542" s="58"/>
      <c r="V542" s="30"/>
      <c r="W542" s="58"/>
      <c r="X542" s="30"/>
      <c r="Y542" s="58"/>
      <c r="Z542" s="30"/>
      <c r="AA542" s="58"/>
      <c r="AB542" s="30"/>
      <c r="AC542" s="58"/>
      <c r="AD542" s="30"/>
      <c r="AE542" s="58"/>
      <c r="AF542" s="55">
        <v>30000</v>
      </c>
      <c r="AG542" s="12">
        <f>+F542++H542++J542++L542++N542++P542++R542++T542++V542++X542++Z542++AB542++AD542+0</f>
        <v>0</v>
      </c>
      <c r="AH542" s="11">
        <f>G542+I542+K542+M542+O542+Q542+S542+U542+W542+Y542+AA542+AC542+AE542+0</f>
        <v>0</v>
      </c>
      <c r="AI542" s="6"/>
    </row>
    <row r="543" spans="1:35" x14ac:dyDescent="0.2">
      <c r="A543" s="4"/>
      <c r="B543" s="17">
        <v>535</v>
      </c>
      <c r="C543" s="41" t="s">
        <v>1094</v>
      </c>
      <c r="D543" s="53"/>
      <c r="E543" s="15" t="s">
        <v>1095</v>
      </c>
      <c r="F543" s="30"/>
      <c r="G543" s="31"/>
      <c r="H543" s="30"/>
      <c r="I543" s="58"/>
      <c r="J543" s="30"/>
      <c r="K543" s="58"/>
      <c r="L543" s="30"/>
      <c r="M543" s="58"/>
      <c r="N543" s="30"/>
      <c r="O543" s="58"/>
      <c r="P543" s="30"/>
      <c r="Q543" s="58"/>
      <c r="R543" s="30"/>
      <c r="S543" s="58"/>
      <c r="T543" s="30"/>
      <c r="U543" s="58"/>
      <c r="V543" s="30"/>
      <c r="W543" s="58"/>
      <c r="X543" s="30"/>
      <c r="Y543" s="58"/>
      <c r="Z543" s="30"/>
      <c r="AA543" s="58"/>
      <c r="AB543" s="30"/>
      <c r="AC543" s="58"/>
      <c r="AD543" s="30"/>
      <c r="AE543" s="58"/>
      <c r="AF543" s="55">
        <v>25000</v>
      </c>
      <c r="AG543" s="12">
        <f>+F543++H543++J543++L543++N543++P543++R543++T543++V543++X543++Z543++AB543++AD543+0</f>
        <v>0</v>
      </c>
      <c r="AH543" s="11">
        <f>G543+I543+K543+M543+O543+Q543+S543+U543+W543+Y543+AA543+AC543+AE543+0</f>
        <v>0</v>
      </c>
      <c r="AI543" s="6"/>
    </row>
    <row r="544" spans="1:35" x14ac:dyDescent="0.2">
      <c r="A544" s="4"/>
      <c r="B544" s="17">
        <v>536</v>
      </c>
      <c r="C544" s="41" t="s">
        <v>1096</v>
      </c>
      <c r="D544" s="53"/>
      <c r="E544" s="15" t="s">
        <v>1097</v>
      </c>
      <c r="F544" s="30"/>
      <c r="G544" s="31"/>
      <c r="H544" s="30"/>
      <c r="I544" s="58"/>
      <c r="J544" s="30"/>
      <c r="K544" s="58"/>
      <c r="L544" s="30"/>
      <c r="M544" s="58"/>
      <c r="N544" s="30"/>
      <c r="O544" s="58"/>
      <c r="P544" s="30"/>
      <c r="Q544" s="58"/>
      <c r="R544" s="30"/>
      <c r="S544" s="58"/>
      <c r="T544" s="30"/>
      <c r="U544" s="58"/>
      <c r="V544" s="30"/>
      <c r="W544" s="58"/>
      <c r="X544" s="30"/>
      <c r="Y544" s="58"/>
      <c r="Z544" s="30"/>
      <c r="AA544" s="58"/>
      <c r="AB544" s="30"/>
      <c r="AC544" s="58"/>
      <c r="AD544" s="30"/>
      <c r="AE544" s="58"/>
      <c r="AF544" s="55">
        <v>30000</v>
      </c>
      <c r="AG544" s="12">
        <f>+F544++H544++J544++L544++N544++P544++R544++T544++V544++X544++Z544++AB544++AD544+0</f>
        <v>0</v>
      </c>
      <c r="AH544" s="11">
        <f>G544+I544+K544+M544+O544+Q544+S544+U544+W544+Y544+AA544+AC544+AE544+0</f>
        <v>0</v>
      </c>
      <c r="AI544" s="6"/>
    </row>
    <row r="545" spans="1:35" x14ac:dyDescent="0.2">
      <c r="A545" s="4"/>
      <c r="B545" s="17">
        <v>537</v>
      </c>
      <c r="C545" s="41" t="s">
        <v>1098</v>
      </c>
      <c r="D545" s="53"/>
      <c r="E545" s="15" t="s">
        <v>1099</v>
      </c>
      <c r="F545" s="30"/>
      <c r="G545" s="31"/>
      <c r="H545" s="30"/>
      <c r="I545" s="58"/>
      <c r="J545" s="30"/>
      <c r="K545" s="58"/>
      <c r="L545" s="30"/>
      <c r="M545" s="58"/>
      <c r="N545" s="30"/>
      <c r="O545" s="58"/>
      <c r="P545" s="30"/>
      <c r="Q545" s="58"/>
      <c r="R545" s="30"/>
      <c r="S545" s="58"/>
      <c r="T545" s="30"/>
      <c r="U545" s="58"/>
      <c r="V545" s="30"/>
      <c r="W545" s="58"/>
      <c r="X545" s="30"/>
      <c r="Y545" s="58"/>
      <c r="Z545" s="30"/>
      <c r="AA545" s="58"/>
      <c r="AB545" s="30"/>
      <c r="AC545" s="58"/>
      <c r="AD545" s="30"/>
      <c r="AE545" s="58"/>
      <c r="AF545" s="55">
        <v>50000</v>
      </c>
      <c r="AG545" s="12">
        <f>+F545++H545++J545++L545++N545++P545++R545++T545++V545++X545++Z545++AB545++AD545+0</f>
        <v>0</v>
      </c>
      <c r="AH545" s="11">
        <f>G545+I545+K545+M545+O545+Q545+S545+U545+W545+Y545+AA545+AC545+AE545+0</f>
        <v>0</v>
      </c>
      <c r="AI545" s="6"/>
    </row>
    <row r="546" spans="1:35" x14ac:dyDescent="0.2">
      <c r="A546" s="4"/>
      <c r="B546" s="17">
        <v>538</v>
      </c>
      <c r="C546" s="41" t="s">
        <v>1100</v>
      </c>
      <c r="D546" s="53"/>
      <c r="E546" s="15" t="s">
        <v>1101</v>
      </c>
      <c r="F546" s="30"/>
      <c r="G546" s="31"/>
      <c r="H546" s="30"/>
      <c r="I546" s="58"/>
      <c r="J546" s="30"/>
      <c r="K546" s="58"/>
      <c r="L546" s="30"/>
      <c r="M546" s="58"/>
      <c r="N546" s="30"/>
      <c r="O546" s="58"/>
      <c r="P546" s="30"/>
      <c r="Q546" s="58"/>
      <c r="R546" s="30"/>
      <c r="S546" s="58"/>
      <c r="T546" s="30"/>
      <c r="U546" s="58"/>
      <c r="V546" s="30"/>
      <c r="W546" s="58"/>
      <c r="X546" s="30"/>
      <c r="Y546" s="58"/>
      <c r="Z546" s="30"/>
      <c r="AA546" s="58"/>
      <c r="AB546" s="30"/>
      <c r="AC546" s="58"/>
      <c r="AD546" s="30"/>
      <c r="AE546" s="58"/>
      <c r="AF546" s="55">
        <v>30000</v>
      </c>
      <c r="AG546" s="12">
        <f>+F546++H546++J546++L546++N546++P546++R546++T546++V546++X546++Z546++AB546++AD546+0</f>
        <v>0</v>
      </c>
      <c r="AH546" s="11">
        <f>G546+I546+K546+M546+O546+Q546+S546+U546+W546+Y546+AA546+AC546+AE546+0</f>
        <v>0</v>
      </c>
      <c r="AI546" s="6"/>
    </row>
    <row r="547" spans="1:35" x14ac:dyDescent="0.2">
      <c r="A547" s="4"/>
      <c r="B547" s="17">
        <v>539</v>
      </c>
      <c r="C547" s="41" t="s">
        <v>1102</v>
      </c>
      <c r="D547" s="53"/>
      <c r="E547" s="15" t="s">
        <v>1103</v>
      </c>
      <c r="F547" s="30"/>
      <c r="G547" s="31"/>
      <c r="H547" s="30"/>
      <c r="I547" s="58"/>
      <c r="J547" s="30"/>
      <c r="K547" s="58"/>
      <c r="L547" s="30"/>
      <c r="M547" s="58"/>
      <c r="N547" s="30"/>
      <c r="O547" s="58"/>
      <c r="P547" s="30"/>
      <c r="Q547" s="58"/>
      <c r="R547" s="30"/>
      <c r="S547" s="58"/>
      <c r="T547" s="30"/>
      <c r="U547" s="58"/>
      <c r="V547" s="30"/>
      <c r="W547" s="58"/>
      <c r="X547" s="30"/>
      <c r="Y547" s="58"/>
      <c r="Z547" s="30"/>
      <c r="AA547" s="58"/>
      <c r="AB547" s="30"/>
      <c r="AC547" s="58"/>
      <c r="AD547" s="30"/>
      <c r="AE547" s="58"/>
      <c r="AF547" s="55">
        <v>15000</v>
      </c>
      <c r="AG547" s="12">
        <f>+F547++H547++J547++L547++N547++P547++R547++T547++V547++X547++Z547++AB547++AD547+0</f>
        <v>0</v>
      </c>
      <c r="AH547" s="11">
        <f>G547+I547+K547+M547+O547+Q547+S547+U547+W547+Y547+AA547+AC547+AE547+0</f>
        <v>0</v>
      </c>
      <c r="AI547" s="6"/>
    </row>
    <row r="548" spans="1:35" x14ac:dyDescent="0.2">
      <c r="A548" s="4"/>
      <c r="B548" s="17">
        <v>540</v>
      </c>
      <c r="C548" s="41" t="s">
        <v>1104</v>
      </c>
      <c r="D548" s="53"/>
      <c r="E548" s="15" t="s">
        <v>1105</v>
      </c>
      <c r="F548" s="30"/>
      <c r="G548" s="31"/>
      <c r="H548" s="30"/>
      <c r="I548" s="58"/>
      <c r="J548" s="30"/>
      <c r="K548" s="58"/>
      <c r="L548" s="30"/>
      <c r="M548" s="58"/>
      <c r="N548" s="30"/>
      <c r="O548" s="58"/>
      <c r="P548" s="30"/>
      <c r="Q548" s="58"/>
      <c r="R548" s="30"/>
      <c r="S548" s="58"/>
      <c r="T548" s="30"/>
      <c r="U548" s="58"/>
      <c r="V548" s="30"/>
      <c r="W548" s="58"/>
      <c r="X548" s="30"/>
      <c r="Y548" s="58"/>
      <c r="Z548" s="30"/>
      <c r="AA548" s="58"/>
      <c r="AB548" s="30"/>
      <c r="AC548" s="58"/>
      <c r="AD548" s="30"/>
      <c r="AE548" s="58"/>
      <c r="AF548" s="55">
        <v>15000</v>
      </c>
      <c r="AG548" s="12">
        <f>+F548++H548++J548++L548++N548++P548++R548++T548++V548++X548++Z548++AB548++AD548+0</f>
        <v>0</v>
      </c>
      <c r="AH548" s="11">
        <f>G548+I548+K548+M548+O548+Q548+S548+U548+W548+Y548+AA548+AC548+AE548+0</f>
        <v>0</v>
      </c>
      <c r="AI548" s="6"/>
    </row>
    <row r="549" spans="1:35" x14ac:dyDescent="0.2">
      <c r="A549" s="4"/>
      <c r="B549" s="17">
        <v>541</v>
      </c>
      <c r="C549" s="41" t="s">
        <v>1106</v>
      </c>
      <c r="D549" s="53"/>
      <c r="E549" s="15" t="s">
        <v>1107</v>
      </c>
      <c r="F549" s="30"/>
      <c r="G549" s="31"/>
      <c r="H549" s="30"/>
      <c r="I549" s="58"/>
      <c r="J549" s="30"/>
      <c r="K549" s="58"/>
      <c r="L549" s="30"/>
      <c r="M549" s="58"/>
      <c r="N549" s="30"/>
      <c r="O549" s="58"/>
      <c r="P549" s="30"/>
      <c r="Q549" s="58"/>
      <c r="R549" s="30"/>
      <c r="S549" s="58"/>
      <c r="T549" s="30"/>
      <c r="U549" s="58"/>
      <c r="V549" s="30"/>
      <c r="W549" s="58"/>
      <c r="X549" s="30"/>
      <c r="Y549" s="58"/>
      <c r="Z549" s="30"/>
      <c r="AA549" s="58"/>
      <c r="AB549" s="30"/>
      <c r="AC549" s="58"/>
      <c r="AD549" s="30"/>
      <c r="AE549" s="58"/>
      <c r="AF549" s="55">
        <v>200000</v>
      </c>
      <c r="AG549" s="12">
        <f>+F549++H549++J549++L549++N549++P549++R549++T549++V549++X549++Z549++AB549++AD549+0</f>
        <v>0</v>
      </c>
      <c r="AH549" s="11">
        <f>G549+I549+K549+M549+O549+Q549+S549+U549+W549+Y549+AA549+AC549+AE549+0</f>
        <v>0</v>
      </c>
      <c r="AI549" s="6"/>
    </row>
    <row r="550" spans="1:35" x14ac:dyDescent="0.2">
      <c r="A550" s="4"/>
      <c r="B550" s="17">
        <v>542</v>
      </c>
      <c r="C550" s="41" t="s">
        <v>1108</v>
      </c>
      <c r="D550" s="53"/>
      <c r="E550" s="15" t="s">
        <v>1109</v>
      </c>
      <c r="F550" s="30"/>
      <c r="G550" s="31"/>
      <c r="H550" s="30"/>
      <c r="I550" s="58"/>
      <c r="J550" s="30"/>
      <c r="K550" s="58"/>
      <c r="L550" s="30"/>
      <c r="M550" s="58"/>
      <c r="N550" s="30"/>
      <c r="O550" s="58"/>
      <c r="P550" s="30"/>
      <c r="Q550" s="58"/>
      <c r="R550" s="30"/>
      <c r="S550" s="58"/>
      <c r="T550" s="30"/>
      <c r="U550" s="58"/>
      <c r="V550" s="30"/>
      <c r="W550" s="58"/>
      <c r="X550" s="30"/>
      <c r="Y550" s="58"/>
      <c r="Z550" s="30"/>
      <c r="AA550" s="58"/>
      <c r="AB550" s="30"/>
      <c r="AC550" s="58"/>
      <c r="AD550" s="30"/>
      <c r="AE550" s="58"/>
      <c r="AF550" s="55">
        <v>20000</v>
      </c>
      <c r="AG550" s="12">
        <f>+F550++H550++J550++L550++N550++P550++R550++T550++V550++X550++Z550++AB550++AD550+0</f>
        <v>0</v>
      </c>
      <c r="AH550" s="11">
        <f>G550+I550+K550+M550+O550+Q550+S550+U550+W550+Y550+AA550+AC550+AE550+0</f>
        <v>0</v>
      </c>
      <c r="AI550" s="6"/>
    </row>
    <row r="551" spans="1:35" x14ac:dyDescent="0.2">
      <c r="A551" s="4"/>
      <c r="B551" s="17">
        <v>543</v>
      </c>
      <c r="C551" s="41" t="s">
        <v>1110</v>
      </c>
      <c r="D551" s="53"/>
      <c r="E551" s="15" t="s">
        <v>1111</v>
      </c>
      <c r="F551" s="30"/>
      <c r="G551" s="31"/>
      <c r="H551" s="30"/>
      <c r="I551" s="58"/>
      <c r="J551" s="30"/>
      <c r="K551" s="58"/>
      <c r="L551" s="30"/>
      <c r="M551" s="58"/>
      <c r="N551" s="30"/>
      <c r="O551" s="58"/>
      <c r="P551" s="30"/>
      <c r="Q551" s="58"/>
      <c r="R551" s="30"/>
      <c r="S551" s="58"/>
      <c r="T551" s="30"/>
      <c r="U551" s="58"/>
      <c r="V551" s="30"/>
      <c r="W551" s="58"/>
      <c r="X551" s="30"/>
      <c r="Y551" s="58"/>
      <c r="Z551" s="30"/>
      <c r="AA551" s="58"/>
      <c r="AB551" s="30"/>
      <c r="AC551" s="58"/>
      <c r="AD551" s="30"/>
      <c r="AE551" s="58"/>
      <c r="AF551" s="55">
        <v>50000</v>
      </c>
      <c r="AG551" s="12">
        <f>+F551++H551++J551++L551++N551++P551++R551++T551++V551++X551++Z551++AB551++AD551+0</f>
        <v>0</v>
      </c>
      <c r="AH551" s="11">
        <f>G551+I551+K551+M551+O551+Q551+S551+U551+W551+Y551+AA551+AC551+AE551+0</f>
        <v>0</v>
      </c>
      <c r="AI551" s="6"/>
    </row>
    <row r="552" spans="1:35" x14ac:dyDescent="0.2">
      <c r="A552" s="4"/>
      <c r="B552" s="17">
        <v>544</v>
      </c>
      <c r="C552" s="41" t="s">
        <v>1112</v>
      </c>
      <c r="D552" s="53"/>
      <c r="E552" s="15" t="s">
        <v>1113</v>
      </c>
      <c r="F552" s="30"/>
      <c r="G552" s="31"/>
      <c r="H552" s="30"/>
      <c r="I552" s="58"/>
      <c r="J552" s="30"/>
      <c r="K552" s="58"/>
      <c r="L552" s="30"/>
      <c r="M552" s="58"/>
      <c r="N552" s="30"/>
      <c r="O552" s="58"/>
      <c r="P552" s="30"/>
      <c r="Q552" s="58"/>
      <c r="R552" s="30"/>
      <c r="S552" s="58"/>
      <c r="T552" s="30"/>
      <c r="U552" s="58"/>
      <c r="V552" s="30"/>
      <c r="W552" s="58"/>
      <c r="X552" s="30"/>
      <c r="Y552" s="58"/>
      <c r="Z552" s="30"/>
      <c r="AA552" s="58"/>
      <c r="AB552" s="30"/>
      <c r="AC552" s="58"/>
      <c r="AD552" s="30"/>
      <c r="AE552" s="58"/>
      <c r="AF552" s="55">
        <v>10000</v>
      </c>
      <c r="AG552" s="12">
        <f>+F552++H552++J552++L552++N552++P552++R552++T552++V552++X552++Z552++AB552++AD552+0</f>
        <v>0</v>
      </c>
      <c r="AH552" s="11">
        <f>G552+I552+K552+M552+O552+Q552+S552+U552+W552+Y552+AA552+AC552+AE552+0</f>
        <v>0</v>
      </c>
      <c r="AI552" s="6"/>
    </row>
    <row r="553" spans="1:35" x14ac:dyDescent="0.2">
      <c r="A553" s="4"/>
      <c r="B553" s="17">
        <v>545</v>
      </c>
      <c r="C553" s="41" t="s">
        <v>1114</v>
      </c>
      <c r="D553" s="53"/>
      <c r="E553" s="15" t="s">
        <v>1115</v>
      </c>
      <c r="F553" s="30"/>
      <c r="G553" s="31"/>
      <c r="H553" s="30"/>
      <c r="I553" s="58"/>
      <c r="J553" s="30"/>
      <c r="K553" s="58"/>
      <c r="L553" s="30"/>
      <c r="M553" s="58"/>
      <c r="N553" s="30"/>
      <c r="O553" s="58"/>
      <c r="P553" s="30"/>
      <c r="Q553" s="58"/>
      <c r="R553" s="30"/>
      <c r="S553" s="58"/>
      <c r="T553" s="30"/>
      <c r="U553" s="58"/>
      <c r="V553" s="30"/>
      <c r="W553" s="58"/>
      <c r="X553" s="30"/>
      <c r="Y553" s="58"/>
      <c r="Z553" s="30"/>
      <c r="AA553" s="58"/>
      <c r="AB553" s="30"/>
      <c r="AC553" s="58"/>
      <c r="AD553" s="30"/>
      <c r="AE553" s="58"/>
      <c r="AF553" s="55">
        <v>50000</v>
      </c>
      <c r="AG553" s="12">
        <f>+F553++H553++J553++L553++N553++P553++R553++T553++V553++X553++Z553++AB553++AD553+0</f>
        <v>0</v>
      </c>
      <c r="AH553" s="11">
        <f>G553+I553+K553+M553+O553+Q553+S553+U553+W553+Y553+AA553+AC553+AE553+0</f>
        <v>0</v>
      </c>
      <c r="AI553" s="6"/>
    </row>
    <row r="554" spans="1:35" x14ac:dyDescent="0.2">
      <c r="A554" s="4"/>
      <c r="B554" s="17">
        <v>546</v>
      </c>
      <c r="C554" s="41" t="s">
        <v>1116</v>
      </c>
      <c r="D554" s="53"/>
      <c r="E554" s="15" t="s">
        <v>1117</v>
      </c>
      <c r="F554" s="30"/>
      <c r="G554" s="31"/>
      <c r="H554" s="30"/>
      <c r="I554" s="58"/>
      <c r="J554" s="30"/>
      <c r="K554" s="58"/>
      <c r="L554" s="30"/>
      <c r="M554" s="58"/>
      <c r="N554" s="30"/>
      <c r="O554" s="58"/>
      <c r="P554" s="30"/>
      <c r="Q554" s="58"/>
      <c r="R554" s="30"/>
      <c r="S554" s="58"/>
      <c r="T554" s="30"/>
      <c r="U554" s="58"/>
      <c r="V554" s="30"/>
      <c r="W554" s="58"/>
      <c r="X554" s="30"/>
      <c r="Y554" s="58"/>
      <c r="Z554" s="30"/>
      <c r="AA554" s="58"/>
      <c r="AB554" s="30"/>
      <c r="AC554" s="58"/>
      <c r="AD554" s="30"/>
      <c r="AE554" s="58"/>
      <c r="AF554" s="55">
        <v>10000</v>
      </c>
      <c r="AG554" s="12">
        <f>+F554++H554++J554++L554++N554++P554++R554++T554++V554++X554++Z554++AB554++AD554+0</f>
        <v>0</v>
      </c>
      <c r="AH554" s="11">
        <f>G554+I554+K554+M554+O554+Q554+S554+U554+W554+Y554+AA554+AC554+AE554+0</f>
        <v>0</v>
      </c>
      <c r="AI554" s="6"/>
    </row>
    <row r="555" spans="1:35" x14ac:dyDescent="0.2">
      <c r="A555" s="4"/>
      <c r="B555" s="17">
        <v>547</v>
      </c>
      <c r="C555" s="41" t="s">
        <v>1118</v>
      </c>
      <c r="D555" s="53"/>
      <c r="E555" s="15" t="s">
        <v>1119</v>
      </c>
      <c r="F555" s="30"/>
      <c r="G555" s="31"/>
      <c r="H555" s="30"/>
      <c r="I555" s="58"/>
      <c r="J555" s="30"/>
      <c r="K555" s="58"/>
      <c r="L555" s="30"/>
      <c r="M555" s="58"/>
      <c r="N555" s="30"/>
      <c r="O555" s="58"/>
      <c r="P555" s="30"/>
      <c r="Q555" s="58"/>
      <c r="R555" s="30"/>
      <c r="S555" s="58"/>
      <c r="T555" s="30"/>
      <c r="U555" s="58"/>
      <c r="V555" s="30"/>
      <c r="W555" s="58"/>
      <c r="X555" s="30"/>
      <c r="Y555" s="58"/>
      <c r="Z555" s="30"/>
      <c r="AA555" s="58"/>
      <c r="AB555" s="30"/>
      <c r="AC555" s="58"/>
      <c r="AD555" s="30"/>
      <c r="AE555" s="58"/>
      <c r="AF555" s="55">
        <v>10000</v>
      </c>
      <c r="AG555" s="12">
        <f>+F555++H555++J555++L555++N555++P555++R555++T555++V555++X555++Z555++AB555++AD555+0</f>
        <v>0</v>
      </c>
      <c r="AH555" s="11">
        <f>G555+I555+K555+M555+O555+Q555+S555+U555+W555+Y555+AA555+AC555+AE555+0</f>
        <v>0</v>
      </c>
      <c r="AI555" s="6"/>
    </row>
    <row r="556" spans="1:35" x14ac:dyDescent="0.2">
      <c r="A556" s="4"/>
      <c r="B556" s="17">
        <v>548</v>
      </c>
      <c r="C556" s="41" t="s">
        <v>1120</v>
      </c>
      <c r="D556" s="53"/>
      <c r="E556" s="15" t="s">
        <v>1121</v>
      </c>
      <c r="F556" s="30"/>
      <c r="G556" s="31"/>
      <c r="H556" s="30"/>
      <c r="I556" s="58"/>
      <c r="J556" s="30"/>
      <c r="K556" s="58"/>
      <c r="L556" s="30"/>
      <c r="M556" s="58"/>
      <c r="N556" s="30"/>
      <c r="O556" s="58"/>
      <c r="P556" s="30"/>
      <c r="Q556" s="58"/>
      <c r="R556" s="30"/>
      <c r="S556" s="58"/>
      <c r="T556" s="30"/>
      <c r="U556" s="58"/>
      <c r="V556" s="30"/>
      <c r="W556" s="58"/>
      <c r="X556" s="30"/>
      <c r="Y556" s="58"/>
      <c r="Z556" s="30"/>
      <c r="AA556" s="58"/>
      <c r="AB556" s="30"/>
      <c r="AC556" s="58"/>
      <c r="AD556" s="30"/>
      <c r="AE556" s="58"/>
      <c r="AF556" s="55">
        <v>10000</v>
      </c>
      <c r="AG556" s="12">
        <f>+F556++H556++J556++L556++N556++P556++R556++T556++V556++X556++Z556++AB556++AD556+0</f>
        <v>0</v>
      </c>
      <c r="AH556" s="11">
        <f>G556+I556+K556+M556+O556+Q556+S556+U556+W556+Y556+AA556+AC556+AE556+0</f>
        <v>0</v>
      </c>
      <c r="AI556" s="6"/>
    </row>
    <row r="557" spans="1:35" x14ac:dyDescent="0.2">
      <c r="A557" s="4"/>
      <c r="B557" s="17">
        <v>549</v>
      </c>
      <c r="C557" s="41" t="s">
        <v>1122</v>
      </c>
      <c r="D557" s="53"/>
      <c r="E557" s="15" t="s">
        <v>1123</v>
      </c>
      <c r="F557" s="30"/>
      <c r="G557" s="31"/>
      <c r="H557" s="30"/>
      <c r="I557" s="58"/>
      <c r="J557" s="30"/>
      <c r="K557" s="58"/>
      <c r="L557" s="30"/>
      <c r="M557" s="58"/>
      <c r="N557" s="30"/>
      <c r="O557" s="58"/>
      <c r="P557" s="30"/>
      <c r="Q557" s="58"/>
      <c r="R557" s="30"/>
      <c r="S557" s="58"/>
      <c r="T557" s="30"/>
      <c r="U557" s="58"/>
      <c r="V557" s="30"/>
      <c r="W557" s="58"/>
      <c r="X557" s="30"/>
      <c r="Y557" s="58"/>
      <c r="Z557" s="30"/>
      <c r="AA557" s="58"/>
      <c r="AB557" s="30"/>
      <c r="AC557" s="58"/>
      <c r="AD557" s="30"/>
      <c r="AE557" s="58"/>
      <c r="AF557" s="55">
        <v>100000</v>
      </c>
      <c r="AG557" s="12">
        <f>+F557++H557++J557++L557++N557++P557++R557++T557++V557++X557++Z557++AB557++AD557+0</f>
        <v>0</v>
      </c>
      <c r="AH557" s="11">
        <f>G557+I557+K557+M557+O557+Q557+S557+U557+W557+Y557+AA557+AC557+AE557+0</f>
        <v>0</v>
      </c>
      <c r="AI557" s="6"/>
    </row>
    <row r="558" spans="1:35" x14ac:dyDescent="0.2">
      <c r="A558" s="4"/>
      <c r="B558" s="17">
        <v>550</v>
      </c>
      <c r="C558" s="41" t="s">
        <v>1124</v>
      </c>
      <c r="D558" s="53"/>
      <c r="E558" s="15" t="s">
        <v>1125</v>
      </c>
      <c r="F558" s="30"/>
      <c r="G558" s="31"/>
      <c r="H558" s="30"/>
      <c r="I558" s="58"/>
      <c r="J558" s="30"/>
      <c r="K558" s="58"/>
      <c r="L558" s="30"/>
      <c r="M558" s="58"/>
      <c r="N558" s="30"/>
      <c r="O558" s="58"/>
      <c r="P558" s="30"/>
      <c r="Q558" s="58"/>
      <c r="R558" s="30"/>
      <c r="S558" s="58"/>
      <c r="T558" s="30"/>
      <c r="U558" s="58"/>
      <c r="V558" s="30"/>
      <c r="W558" s="58"/>
      <c r="X558" s="30"/>
      <c r="Y558" s="58"/>
      <c r="Z558" s="30"/>
      <c r="AA558" s="58"/>
      <c r="AB558" s="30"/>
      <c r="AC558" s="58"/>
      <c r="AD558" s="30"/>
      <c r="AE558" s="58"/>
      <c r="AF558" s="55">
        <v>274000</v>
      </c>
      <c r="AG558" s="12">
        <f>+F558++H558++J558++L558++N558++P558++R558++T558++V558++X558++Z558++AB558++AD558+0</f>
        <v>0</v>
      </c>
      <c r="AH558" s="11">
        <f>G558+I558+K558+M558+O558+Q558+S558+U558+W558+Y558+AA558+AC558+AE558+0</f>
        <v>0</v>
      </c>
      <c r="AI558" s="6"/>
    </row>
    <row r="559" spans="1:35" x14ac:dyDescent="0.2">
      <c r="A559" s="4"/>
      <c r="B559" s="17">
        <v>551</v>
      </c>
      <c r="C559" s="41" t="s">
        <v>1126</v>
      </c>
      <c r="D559" s="53"/>
      <c r="E559" s="15" t="s">
        <v>1127</v>
      </c>
      <c r="F559" s="30"/>
      <c r="G559" s="31"/>
      <c r="H559" s="30"/>
      <c r="I559" s="58"/>
      <c r="J559" s="30"/>
      <c r="K559" s="58"/>
      <c r="L559" s="30"/>
      <c r="M559" s="58"/>
      <c r="N559" s="30"/>
      <c r="O559" s="58"/>
      <c r="P559" s="30"/>
      <c r="Q559" s="58"/>
      <c r="R559" s="30"/>
      <c r="S559" s="58"/>
      <c r="T559" s="30"/>
      <c r="U559" s="58"/>
      <c r="V559" s="30"/>
      <c r="W559" s="58"/>
      <c r="X559" s="30"/>
      <c r="Y559" s="58"/>
      <c r="Z559" s="30"/>
      <c r="AA559" s="58"/>
      <c r="AB559" s="30"/>
      <c r="AC559" s="58"/>
      <c r="AD559" s="30"/>
      <c r="AE559" s="58"/>
      <c r="AF559" s="55">
        <v>45000</v>
      </c>
      <c r="AG559" s="12">
        <f>+F559++H559++J559++L559++N559++P559++R559++T559++V559++X559++Z559++AB559++AD559+0</f>
        <v>0</v>
      </c>
      <c r="AH559" s="11">
        <f>G559+I559+K559+M559+O559+Q559+S559+U559+W559+Y559+AA559+AC559+AE559+0</f>
        <v>0</v>
      </c>
      <c r="AI559" s="6"/>
    </row>
    <row r="560" spans="1:35" x14ac:dyDescent="0.2">
      <c r="A560" s="4"/>
      <c r="B560" s="17">
        <v>552</v>
      </c>
      <c r="C560" s="41" t="s">
        <v>1128</v>
      </c>
      <c r="D560" s="53"/>
      <c r="E560" s="15" t="s">
        <v>1129</v>
      </c>
      <c r="F560" s="30"/>
      <c r="G560" s="31"/>
      <c r="H560" s="30"/>
      <c r="I560" s="58"/>
      <c r="J560" s="30"/>
      <c r="K560" s="58"/>
      <c r="L560" s="30"/>
      <c r="M560" s="58"/>
      <c r="N560" s="30"/>
      <c r="O560" s="58"/>
      <c r="P560" s="30"/>
      <c r="Q560" s="58"/>
      <c r="R560" s="30"/>
      <c r="S560" s="58"/>
      <c r="T560" s="30"/>
      <c r="U560" s="58"/>
      <c r="V560" s="30"/>
      <c r="W560" s="58"/>
      <c r="X560" s="30"/>
      <c r="Y560" s="58"/>
      <c r="Z560" s="30"/>
      <c r="AA560" s="58"/>
      <c r="AB560" s="30"/>
      <c r="AC560" s="58"/>
      <c r="AD560" s="30"/>
      <c r="AE560" s="58"/>
      <c r="AF560" s="55">
        <v>20000</v>
      </c>
      <c r="AG560" s="12">
        <f>+F560++H560++J560++L560++N560++P560++R560++T560++V560++X560++Z560++AB560++AD560+0</f>
        <v>0</v>
      </c>
      <c r="AH560" s="11">
        <f>G560+I560+K560+M560+O560+Q560+S560+U560+W560+Y560+AA560+AC560+AE560+0</f>
        <v>0</v>
      </c>
      <c r="AI560" s="6"/>
    </row>
    <row r="561" spans="1:35" x14ac:dyDescent="0.2">
      <c r="A561" s="4"/>
      <c r="B561" s="17">
        <v>553</v>
      </c>
      <c r="C561" s="41" t="s">
        <v>1130</v>
      </c>
      <c r="D561" s="53"/>
      <c r="E561" s="15" t="s">
        <v>1131</v>
      </c>
      <c r="F561" s="30"/>
      <c r="G561" s="31"/>
      <c r="H561" s="30"/>
      <c r="I561" s="58"/>
      <c r="J561" s="30"/>
      <c r="K561" s="58"/>
      <c r="L561" s="30"/>
      <c r="M561" s="58"/>
      <c r="N561" s="30"/>
      <c r="O561" s="58"/>
      <c r="P561" s="30"/>
      <c r="Q561" s="58"/>
      <c r="R561" s="30"/>
      <c r="S561" s="58"/>
      <c r="T561" s="30"/>
      <c r="U561" s="58"/>
      <c r="V561" s="30"/>
      <c r="W561" s="58"/>
      <c r="X561" s="30"/>
      <c r="Y561" s="58"/>
      <c r="Z561" s="30"/>
      <c r="AA561" s="58"/>
      <c r="AB561" s="30"/>
      <c r="AC561" s="58"/>
      <c r="AD561" s="30"/>
      <c r="AE561" s="58"/>
      <c r="AF561" s="55">
        <v>200000</v>
      </c>
      <c r="AG561" s="12">
        <f>+F561++H561++J561++L561++N561++P561++R561++T561++V561++X561++Z561++AB561++AD561+0</f>
        <v>0</v>
      </c>
      <c r="AH561" s="11">
        <f>G561+I561+K561+M561+O561+Q561+S561+U561+W561+Y561+AA561+AC561+AE561+0</f>
        <v>0</v>
      </c>
      <c r="AI561" s="6"/>
    </row>
    <row r="562" spans="1:35" x14ac:dyDescent="0.2">
      <c r="A562" s="4"/>
      <c r="B562" s="17">
        <v>554</v>
      </c>
      <c r="C562" s="41" t="s">
        <v>1132</v>
      </c>
      <c r="D562" s="53"/>
      <c r="E562" s="15" t="s">
        <v>1133</v>
      </c>
      <c r="F562" s="30"/>
      <c r="G562" s="31"/>
      <c r="H562" s="30"/>
      <c r="I562" s="58"/>
      <c r="J562" s="30"/>
      <c r="K562" s="58"/>
      <c r="L562" s="30"/>
      <c r="M562" s="58"/>
      <c r="N562" s="30"/>
      <c r="O562" s="58"/>
      <c r="P562" s="30"/>
      <c r="Q562" s="58"/>
      <c r="R562" s="30"/>
      <c r="S562" s="58"/>
      <c r="T562" s="30"/>
      <c r="U562" s="58"/>
      <c r="V562" s="30"/>
      <c r="W562" s="58"/>
      <c r="X562" s="30"/>
      <c r="Y562" s="58"/>
      <c r="Z562" s="30"/>
      <c r="AA562" s="58"/>
      <c r="AB562" s="30"/>
      <c r="AC562" s="58"/>
      <c r="AD562" s="30"/>
      <c r="AE562" s="58"/>
      <c r="AF562" s="55">
        <v>60000</v>
      </c>
      <c r="AG562" s="12">
        <f>+F562++H562++J562++L562++N562++P562++R562++T562++V562++X562++Z562++AB562++AD562+0</f>
        <v>0</v>
      </c>
      <c r="AH562" s="11">
        <f>G562+I562+K562+M562+O562+Q562+S562+U562+W562+Y562+AA562+AC562+AE562+0</f>
        <v>0</v>
      </c>
      <c r="AI562" s="6"/>
    </row>
    <row r="563" spans="1:35" x14ac:dyDescent="0.2">
      <c r="A563" s="4"/>
      <c r="B563" s="17">
        <v>555</v>
      </c>
      <c r="C563" s="41" t="s">
        <v>1134</v>
      </c>
      <c r="D563" s="53"/>
      <c r="E563" s="15" t="s">
        <v>1135</v>
      </c>
      <c r="F563" s="30"/>
      <c r="G563" s="31"/>
      <c r="H563" s="30"/>
      <c r="I563" s="58"/>
      <c r="J563" s="30"/>
      <c r="K563" s="58"/>
      <c r="L563" s="30"/>
      <c r="M563" s="58"/>
      <c r="N563" s="30"/>
      <c r="O563" s="58"/>
      <c r="P563" s="30"/>
      <c r="Q563" s="58"/>
      <c r="R563" s="30"/>
      <c r="S563" s="58"/>
      <c r="T563" s="30"/>
      <c r="U563" s="58"/>
      <c r="V563" s="30"/>
      <c r="W563" s="58"/>
      <c r="X563" s="30"/>
      <c r="Y563" s="58"/>
      <c r="Z563" s="30"/>
      <c r="AA563" s="58"/>
      <c r="AB563" s="30"/>
      <c r="AC563" s="58"/>
      <c r="AD563" s="30"/>
      <c r="AE563" s="58"/>
      <c r="AF563" s="55">
        <v>145000</v>
      </c>
      <c r="AG563" s="12">
        <f>+F563++H563++J563++L563++N563++P563++R563++T563++V563++X563++Z563++AB563++AD563+0</f>
        <v>0</v>
      </c>
      <c r="AH563" s="11">
        <f>G563+I563+K563+M563+O563+Q563+S563+U563+W563+Y563+AA563+AC563+AE563+0</f>
        <v>0</v>
      </c>
      <c r="AI563" s="6"/>
    </row>
    <row r="564" spans="1:35" x14ac:dyDescent="0.2">
      <c r="A564" s="4"/>
      <c r="B564" s="17">
        <v>556</v>
      </c>
      <c r="C564" s="41" t="s">
        <v>1136</v>
      </c>
      <c r="D564" s="53"/>
      <c r="E564" s="15" t="s">
        <v>1137</v>
      </c>
      <c r="F564" s="30"/>
      <c r="G564" s="31"/>
      <c r="H564" s="30"/>
      <c r="I564" s="58"/>
      <c r="J564" s="30"/>
      <c r="K564" s="58"/>
      <c r="L564" s="30"/>
      <c r="M564" s="58"/>
      <c r="N564" s="30"/>
      <c r="O564" s="58"/>
      <c r="P564" s="30"/>
      <c r="Q564" s="58"/>
      <c r="R564" s="30"/>
      <c r="S564" s="58"/>
      <c r="T564" s="30"/>
      <c r="U564" s="58"/>
      <c r="V564" s="30"/>
      <c r="W564" s="58"/>
      <c r="X564" s="30"/>
      <c r="Y564" s="58"/>
      <c r="Z564" s="30"/>
      <c r="AA564" s="58"/>
      <c r="AB564" s="30"/>
      <c r="AC564" s="58"/>
      <c r="AD564" s="30"/>
      <c r="AE564" s="58"/>
      <c r="AF564" s="55">
        <v>750000</v>
      </c>
      <c r="AG564" s="12">
        <f>+F564++H564++J564++L564++N564++P564++R564++T564++V564++X564++Z564++AB564++AD564+0</f>
        <v>0</v>
      </c>
      <c r="AH564" s="11">
        <f>G564+I564+K564+M564+O564+Q564+S564+U564+W564+Y564+AA564+AC564+AE564+0</f>
        <v>0</v>
      </c>
      <c r="AI564" s="6"/>
    </row>
    <row r="565" spans="1:35" x14ac:dyDescent="0.2">
      <c r="A565" s="4"/>
      <c r="B565" s="17">
        <v>557</v>
      </c>
      <c r="C565" s="41" t="s">
        <v>1138</v>
      </c>
      <c r="D565" s="53"/>
      <c r="E565" s="15" t="s">
        <v>1139</v>
      </c>
      <c r="F565" s="30"/>
      <c r="G565" s="31"/>
      <c r="H565" s="30"/>
      <c r="I565" s="58"/>
      <c r="J565" s="30"/>
      <c r="K565" s="58"/>
      <c r="L565" s="30"/>
      <c r="M565" s="58"/>
      <c r="N565" s="30"/>
      <c r="O565" s="58"/>
      <c r="P565" s="30"/>
      <c r="Q565" s="58"/>
      <c r="R565" s="30"/>
      <c r="S565" s="58"/>
      <c r="T565" s="30"/>
      <c r="U565" s="58"/>
      <c r="V565" s="30"/>
      <c r="W565" s="58"/>
      <c r="X565" s="30"/>
      <c r="Y565" s="58"/>
      <c r="Z565" s="30"/>
      <c r="AA565" s="58"/>
      <c r="AB565" s="30"/>
      <c r="AC565" s="58"/>
      <c r="AD565" s="30"/>
      <c r="AE565" s="58"/>
      <c r="AF565" s="55">
        <v>1700000</v>
      </c>
      <c r="AG565" s="12">
        <f>+F565++H565++J565++L565++N565++P565++R565++T565++V565++X565++Z565++AB565++AD565+0</f>
        <v>0</v>
      </c>
      <c r="AH565" s="11">
        <f>G565+I565+K565+M565+O565+Q565+S565+U565+W565+Y565+AA565+AC565+AE565+0</f>
        <v>0</v>
      </c>
      <c r="AI565" s="6"/>
    </row>
    <row r="566" spans="1:35" x14ac:dyDescent="0.2">
      <c r="A566" s="4"/>
      <c r="B566" s="17">
        <v>558</v>
      </c>
      <c r="C566" s="41" t="s">
        <v>1140</v>
      </c>
      <c r="D566" s="53"/>
      <c r="E566" s="15" t="s">
        <v>1141</v>
      </c>
      <c r="F566" s="30"/>
      <c r="G566" s="31"/>
      <c r="H566" s="30"/>
      <c r="I566" s="58"/>
      <c r="J566" s="30"/>
      <c r="K566" s="58"/>
      <c r="L566" s="30"/>
      <c r="M566" s="58"/>
      <c r="N566" s="30"/>
      <c r="O566" s="58"/>
      <c r="P566" s="30"/>
      <c r="Q566" s="58"/>
      <c r="R566" s="30"/>
      <c r="S566" s="58"/>
      <c r="T566" s="30"/>
      <c r="U566" s="58"/>
      <c r="V566" s="30"/>
      <c r="W566" s="58"/>
      <c r="X566" s="30"/>
      <c r="Y566" s="58"/>
      <c r="Z566" s="30"/>
      <c r="AA566" s="58"/>
      <c r="AB566" s="30"/>
      <c r="AC566" s="58"/>
      <c r="AD566" s="30"/>
      <c r="AE566" s="58"/>
      <c r="AF566" s="55">
        <v>110000</v>
      </c>
      <c r="AG566" s="12">
        <f>+F566++H566++J566++L566++N566++P566++R566++T566++V566++X566++Z566++AB566++AD566+0</f>
        <v>0</v>
      </c>
      <c r="AH566" s="11">
        <f>G566+I566+K566+M566+O566+Q566+S566+U566+W566+Y566+AA566+AC566+AE566+0</f>
        <v>0</v>
      </c>
      <c r="AI566" s="6"/>
    </row>
    <row r="567" spans="1:35" x14ac:dyDescent="0.2">
      <c r="A567" s="4"/>
      <c r="B567" s="17">
        <v>559</v>
      </c>
      <c r="C567" s="41" t="s">
        <v>1142</v>
      </c>
      <c r="D567" s="53"/>
      <c r="E567" s="15" t="s">
        <v>1143</v>
      </c>
      <c r="F567" s="30"/>
      <c r="G567" s="31"/>
      <c r="H567" s="30"/>
      <c r="I567" s="58"/>
      <c r="J567" s="30"/>
      <c r="K567" s="58"/>
      <c r="L567" s="30"/>
      <c r="M567" s="58"/>
      <c r="N567" s="30"/>
      <c r="O567" s="58"/>
      <c r="P567" s="30"/>
      <c r="Q567" s="58"/>
      <c r="R567" s="30"/>
      <c r="S567" s="58"/>
      <c r="T567" s="30"/>
      <c r="U567" s="58"/>
      <c r="V567" s="30"/>
      <c r="W567" s="58"/>
      <c r="X567" s="30"/>
      <c r="Y567" s="58"/>
      <c r="Z567" s="30"/>
      <c r="AA567" s="58"/>
      <c r="AB567" s="30"/>
      <c r="AC567" s="58"/>
      <c r="AD567" s="30"/>
      <c r="AE567" s="58"/>
      <c r="AF567" s="55">
        <v>30000</v>
      </c>
      <c r="AG567" s="12">
        <f>+F567++H567++J567++L567++N567++P567++R567++T567++V567++X567++Z567++AB567++AD567+0</f>
        <v>0</v>
      </c>
      <c r="AH567" s="11">
        <f>G567+I567+K567+M567+O567+Q567+S567+U567+W567+Y567+AA567+AC567+AE567+0</f>
        <v>0</v>
      </c>
      <c r="AI567" s="6"/>
    </row>
    <row r="568" spans="1:35" x14ac:dyDescent="0.2">
      <c r="A568" s="4"/>
      <c r="B568" s="17">
        <v>560</v>
      </c>
      <c r="C568" s="41" t="s">
        <v>1144</v>
      </c>
      <c r="D568" s="53"/>
      <c r="E568" s="15" t="s">
        <v>1145</v>
      </c>
      <c r="F568" s="30"/>
      <c r="G568" s="31"/>
      <c r="H568" s="30"/>
      <c r="I568" s="58"/>
      <c r="J568" s="30"/>
      <c r="K568" s="58"/>
      <c r="L568" s="30"/>
      <c r="M568" s="58"/>
      <c r="N568" s="30"/>
      <c r="O568" s="58"/>
      <c r="P568" s="30"/>
      <c r="Q568" s="58"/>
      <c r="R568" s="30"/>
      <c r="S568" s="58"/>
      <c r="T568" s="30"/>
      <c r="U568" s="58"/>
      <c r="V568" s="30"/>
      <c r="W568" s="58"/>
      <c r="X568" s="30"/>
      <c r="Y568" s="58"/>
      <c r="Z568" s="30"/>
      <c r="AA568" s="58"/>
      <c r="AB568" s="30"/>
      <c r="AC568" s="58"/>
      <c r="AD568" s="30"/>
      <c r="AE568" s="58"/>
      <c r="AF568" s="55">
        <v>10000</v>
      </c>
      <c r="AG568" s="12">
        <f>+F568++H568++J568++L568++N568++P568++R568++T568++V568++X568++Z568++AB568++AD568+0</f>
        <v>0</v>
      </c>
      <c r="AH568" s="11">
        <f>G568+I568+K568+M568+O568+Q568+S568+U568+W568+Y568+AA568+AC568+AE568+0</f>
        <v>0</v>
      </c>
      <c r="AI568" s="6"/>
    </row>
    <row r="569" spans="1:35" x14ac:dyDescent="0.2">
      <c r="A569" s="4"/>
      <c r="B569" s="17">
        <v>561</v>
      </c>
      <c r="C569" s="41" t="s">
        <v>1146</v>
      </c>
      <c r="D569" s="53"/>
      <c r="E569" s="15" t="s">
        <v>1147</v>
      </c>
      <c r="F569" s="30"/>
      <c r="G569" s="31"/>
      <c r="H569" s="30"/>
      <c r="I569" s="58"/>
      <c r="J569" s="30"/>
      <c r="K569" s="58"/>
      <c r="L569" s="30"/>
      <c r="M569" s="58"/>
      <c r="N569" s="30"/>
      <c r="O569" s="58"/>
      <c r="P569" s="30"/>
      <c r="Q569" s="58"/>
      <c r="R569" s="30"/>
      <c r="S569" s="58"/>
      <c r="T569" s="30"/>
      <c r="U569" s="58"/>
      <c r="V569" s="30"/>
      <c r="W569" s="58"/>
      <c r="X569" s="30"/>
      <c r="Y569" s="58"/>
      <c r="Z569" s="30"/>
      <c r="AA569" s="58"/>
      <c r="AB569" s="30"/>
      <c r="AC569" s="58"/>
      <c r="AD569" s="30"/>
      <c r="AE569" s="58"/>
      <c r="AF569" s="55">
        <v>10000</v>
      </c>
      <c r="AG569" s="12">
        <f>+F569++H569++J569++L569++N569++P569++R569++T569++V569++X569++Z569++AB569++AD569+0</f>
        <v>0</v>
      </c>
      <c r="AH569" s="11">
        <f>G569+I569+K569+M569+O569+Q569+S569+U569+W569+Y569+AA569+AC569+AE569+0</f>
        <v>0</v>
      </c>
      <c r="AI569" s="6"/>
    </row>
    <row r="570" spans="1:35" x14ac:dyDescent="0.2">
      <c r="A570" s="4"/>
      <c r="B570" s="17">
        <v>562</v>
      </c>
      <c r="C570" s="41" t="s">
        <v>1148</v>
      </c>
      <c r="D570" s="53"/>
      <c r="E570" s="15" t="s">
        <v>1149</v>
      </c>
      <c r="F570" s="30"/>
      <c r="G570" s="31"/>
      <c r="H570" s="30"/>
      <c r="I570" s="58"/>
      <c r="J570" s="30"/>
      <c r="K570" s="58"/>
      <c r="L570" s="30"/>
      <c r="M570" s="58"/>
      <c r="N570" s="30"/>
      <c r="O570" s="58"/>
      <c r="P570" s="30"/>
      <c r="Q570" s="58"/>
      <c r="R570" s="30"/>
      <c r="S570" s="58"/>
      <c r="T570" s="30"/>
      <c r="U570" s="58"/>
      <c r="V570" s="30"/>
      <c r="W570" s="58"/>
      <c r="X570" s="30"/>
      <c r="Y570" s="58"/>
      <c r="Z570" s="30"/>
      <c r="AA570" s="58"/>
      <c r="AB570" s="30"/>
      <c r="AC570" s="58"/>
      <c r="AD570" s="30"/>
      <c r="AE570" s="58"/>
      <c r="AF570" s="55">
        <v>40000</v>
      </c>
      <c r="AG570" s="12">
        <f>+F570++H570++J570++L570++N570++P570++R570++T570++V570++X570++Z570++AB570++AD570+0</f>
        <v>0</v>
      </c>
      <c r="AH570" s="11">
        <f>G570+I570+K570+M570+O570+Q570+S570+U570+W570+Y570+AA570+AC570+AE570+0</f>
        <v>0</v>
      </c>
      <c r="AI570" s="6"/>
    </row>
    <row r="571" spans="1:35" x14ac:dyDescent="0.2">
      <c r="A571" s="4"/>
      <c r="B571" s="17">
        <v>563</v>
      </c>
      <c r="C571" s="41" t="s">
        <v>1150</v>
      </c>
      <c r="D571" s="53"/>
      <c r="E571" s="15" t="s">
        <v>1151</v>
      </c>
      <c r="F571" s="30"/>
      <c r="G571" s="31"/>
      <c r="H571" s="30"/>
      <c r="I571" s="58"/>
      <c r="J571" s="30"/>
      <c r="K571" s="58"/>
      <c r="L571" s="30"/>
      <c r="M571" s="58"/>
      <c r="N571" s="30"/>
      <c r="O571" s="58"/>
      <c r="P571" s="30"/>
      <c r="Q571" s="58"/>
      <c r="R571" s="30"/>
      <c r="S571" s="58"/>
      <c r="T571" s="30"/>
      <c r="U571" s="58"/>
      <c r="V571" s="30"/>
      <c r="W571" s="58"/>
      <c r="X571" s="30"/>
      <c r="Y571" s="58"/>
      <c r="Z571" s="30"/>
      <c r="AA571" s="58"/>
      <c r="AB571" s="30"/>
      <c r="AC571" s="58"/>
      <c r="AD571" s="30"/>
      <c r="AE571" s="58"/>
      <c r="AF571" s="55">
        <v>40000</v>
      </c>
      <c r="AG571" s="12">
        <f>+F571++H571++J571++L571++N571++P571++R571++T571++V571++X571++Z571++AB571++AD571+0</f>
        <v>0</v>
      </c>
      <c r="AH571" s="11">
        <f>G571+I571+K571+M571+O571+Q571+S571+U571+W571+Y571+AA571+AC571+AE571+0</f>
        <v>0</v>
      </c>
      <c r="AI571" s="6"/>
    </row>
    <row r="572" spans="1:35" x14ac:dyDescent="0.2">
      <c r="A572" s="4"/>
      <c r="B572" s="17">
        <v>564</v>
      </c>
      <c r="C572" s="41" t="s">
        <v>1152</v>
      </c>
      <c r="D572" s="53"/>
      <c r="E572" s="15" t="s">
        <v>1153</v>
      </c>
      <c r="F572" s="30"/>
      <c r="G572" s="31"/>
      <c r="H572" s="30"/>
      <c r="I572" s="58"/>
      <c r="J572" s="30"/>
      <c r="K572" s="58"/>
      <c r="L572" s="30"/>
      <c r="M572" s="58"/>
      <c r="N572" s="30"/>
      <c r="O572" s="58"/>
      <c r="P572" s="30"/>
      <c r="Q572" s="58"/>
      <c r="R572" s="30"/>
      <c r="S572" s="58"/>
      <c r="T572" s="30"/>
      <c r="U572" s="58"/>
      <c r="V572" s="30"/>
      <c r="W572" s="58"/>
      <c r="X572" s="30"/>
      <c r="Y572" s="58"/>
      <c r="Z572" s="30"/>
      <c r="AA572" s="58"/>
      <c r="AB572" s="30"/>
      <c r="AC572" s="58"/>
      <c r="AD572" s="30"/>
      <c r="AE572" s="58"/>
      <c r="AF572" s="55">
        <v>50000</v>
      </c>
      <c r="AG572" s="12">
        <f>+F572++H572++J572++L572++N572++P572++R572++T572++V572++X572++Z572++AB572++AD572+0</f>
        <v>0</v>
      </c>
      <c r="AH572" s="11">
        <f>G572+I572+K572+M572+O572+Q572+S572+U572+W572+Y572+AA572+AC572+AE572+0</f>
        <v>0</v>
      </c>
      <c r="AI572" s="6"/>
    </row>
    <row r="573" spans="1:35" ht="13.5" thickBot="1" x14ac:dyDescent="0.25">
      <c r="A573" s="4"/>
      <c r="B573" s="17">
        <v>565</v>
      </c>
      <c r="C573" s="41" t="s">
        <v>1154</v>
      </c>
      <c r="D573" s="53"/>
      <c r="E573" s="15" t="s">
        <v>1155</v>
      </c>
      <c r="F573" s="30"/>
      <c r="G573" s="31"/>
      <c r="H573" s="30"/>
      <c r="I573" s="58"/>
      <c r="J573" s="30"/>
      <c r="K573" s="58"/>
      <c r="L573" s="30"/>
      <c r="M573" s="58"/>
      <c r="N573" s="30"/>
      <c r="O573" s="58"/>
      <c r="P573" s="30"/>
      <c r="Q573" s="58"/>
      <c r="R573" s="30"/>
      <c r="S573" s="58"/>
      <c r="T573" s="30"/>
      <c r="U573" s="58"/>
      <c r="V573" s="30"/>
      <c r="W573" s="58"/>
      <c r="X573" s="30"/>
      <c r="Y573" s="58"/>
      <c r="Z573" s="30"/>
      <c r="AA573" s="58"/>
      <c r="AB573" s="30"/>
      <c r="AC573" s="58"/>
      <c r="AD573" s="30"/>
      <c r="AE573" s="58"/>
      <c r="AF573" s="55">
        <v>1000000</v>
      </c>
      <c r="AG573" s="12">
        <f>+F573++H573++J573++L573++N573++P573++R573++T573++V573++X573++Z573++AB573++AD573+0</f>
        <v>0</v>
      </c>
      <c r="AH573" s="11">
        <f>G573+I573+K573+M573+O573+Q573+S573+U573+W573+Y573+AA573+AC573+AE573+0</f>
        <v>0</v>
      </c>
      <c r="AI573" s="6"/>
    </row>
    <row r="574" spans="1:35" ht="12" customHeight="1" thickBot="1" x14ac:dyDescent="0.25">
      <c r="A574" s="4"/>
      <c r="B574" s="16"/>
      <c r="C574" s="40" t="s">
        <v>1156</v>
      </c>
      <c r="D574" s="40"/>
      <c r="E574" s="32"/>
      <c r="F574" s="26">
        <f>SUM(F9:F573)</f>
        <v>0</v>
      </c>
      <c r="G574" s="27">
        <f>SUM(G9:G573)</f>
        <v>0</v>
      </c>
      <c r="H574" s="28">
        <f>SUM(H9:H573)</f>
        <v>0</v>
      </c>
      <c r="I574" s="59">
        <f>SUM(I9:I573)</f>
        <v>0</v>
      </c>
      <c r="J574" s="28">
        <f>SUM(J9:J573)</f>
        <v>0</v>
      </c>
      <c r="K574" s="59">
        <f>SUM(K9:K573)</f>
        <v>0</v>
      </c>
      <c r="L574" s="28">
        <f>SUM(L9:L573)</f>
        <v>0</v>
      </c>
      <c r="M574" s="59">
        <f>SUM(M9:M573)</f>
        <v>0</v>
      </c>
      <c r="N574" s="28">
        <f>SUM(N9:N573)</f>
        <v>0</v>
      </c>
      <c r="O574" s="59">
        <f>SUM(O9:O573)</f>
        <v>0</v>
      </c>
      <c r="P574" s="28">
        <f>SUM(P9:P573)</f>
        <v>0</v>
      </c>
      <c r="Q574" s="59">
        <f>SUM(Q9:Q573)</f>
        <v>0</v>
      </c>
      <c r="R574" s="28">
        <f>SUM(R9:R573)</f>
        <v>0</v>
      </c>
      <c r="S574" s="59">
        <f>SUM(S9:S573)</f>
        <v>0</v>
      </c>
      <c r="T574" s="28">
        <f>SUM(T9:T573)</f>
        <v>0</v>
      </c>
      <c r="U574" s="59">
        <f>SUM(U9:U573)</f>
        <v>0</v>
      </c>
      <c r="V574" s="28">
        <f>SUM(V9:V573)</f>
        <v>0</v>
      </c>
      <c r="W574" s="59">
        <f>SUM(W9:W573)</f>
        <v>0</v>
      </c>
      <c r="X574" s="28">
        <f>SUM(X9:X573)</f>
        <v>0</v>
      </c>
      <c r="Y574" s="59">
        <f>SUM(Y9:Y573)</f>
        <v>0</v>
      </c>
      <c r="Z574" s="28">
        <f>SUM(Z9:Z573)</f>
        <v>0</v>
      </c>
      <c r="AA574" s="59">
        <f>SUM(AA9:AA573)</f>
        <v>0</v>
      </c>
      <c r="AB574" s="28">
        <f>SUM(AB9:AB573)</f>
        <v>0</v>
      </c>
      <c r="AC574" s="59">
        <f>SUM(AC9:AC573)</f>
        <v>0</v>
      </c>
      <c r="AD574" s="28">
        <f>SUM(AD9:AD573)</f>
        <v>0</v>
      </c>
      <c r="AE574" s="59">
        <f>SUM(AE9:AE573)</f>
        <v>0</v>
      </c>
      <c r="AF574" s="27">
        <f>SUM(AF9:AF573)</f>
        <v>51520440.909999996</v>
      </c>
      <c r="AG574" s="28">
        <f>SUM(AG9:AG573)</f>
        <v>0</v>
      </c>
      <c r="AH574" s="29">
        <f>SUM(AH9:AH573)</f>
        <v>0</v>
      </c>
      <c r="AI574" s="4"/>
    </row>
    <row r="575" spans="1:35" ht="12" customHeight="1" x14ac:dyDescent="0.2">
      <c r="A575" s="4"/>
      <c r="B575" s="4"/>
      <c r="C575" s="18"/>
      <c r="D575" s="18"/>
      <c r="E575" s="18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4"/>
    </row>
    <row r="576" spans="1:35" ht="12" customHeight="1" x14ac:dyDescent="0.2">
      <c r="A576" s="4"/>
      <c r="B576" s="4"/>
      <c r="C576" s="18"/>
      <c r="D576" s="18"/>
      <c r="E576" s="18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4"/>
    </row>
    <row r="577" spans="1:35" ht="12" customHeight="1" x14ac:dyDescent="0.2">
      <c r="A577" s="4"/>
      <c r="B577" s="20" t="s">
        <v>1157</v>
      </c>
      <c r="C577" s="18"/>
      <c r="D577" s="18"/>
      <c r="E577" s="18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4"/>
    </row>
    <row r="578" spans="1:35" ht="12" customHeight="1" x14ac:dyDescent="0.2">
      <c r="A578" s="4"/>
      <c r="B578" s="21"/>
      <c r="C578" s="18"/>
      <c r="D578" s="18"/>
      <c r="E578" s="18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4"/>
    </row>
    <row r="579" spans="1:35" ht="12" customHeight="1" x14ac:dyDescent="0.2">
      <c r="A579" s="4"/>
      <c r="B579" s="20" t="s">
        <v>1158</v>
      </c>
      <c r="C579" s="18"/>
      <c r="D579" s="18"/>
      <c r="E579" s="18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4"/>
    </row>
    <row r="580" spans="1:35" ht="12" customHeight="1" x14ac:dyDescent="0.2">
      <c r="A580" s="4"/>
      <c r="B580" s="21" t="s">
        <v>1159</v>
      </c>
      <c r="C580" s="18"/>
      <c r="D580" s="18"/>
      <c r="E580" s="18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4"/>
    </row>
    <row r="581" spans="1:35" ht="12" customHeight="1" x14ac:dyDescent="0.2">
      <c r="A581" s="4"/>
      <c r="B581" s="21" t="s">
        <v>1160</v>
      </c>
      <c r="C581" s="18"/>
      <c r="D581" s="18"/>
      <c r="E581" s="18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4"/>
    </row>
    <row r="582" spans="1:35" ht="13.5" customHeight="1" x14ac:dyDescent="0.2">
      <c r="A582" s="5"/>
      <c r="B582" s="5"/>
      <c r="C582" s="37"/>
      <c r="D582" s="37"/>
      <c r="E582" s="23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4"/>
    </row>
  </sheetData>
  <mergeCells count="589">
    <mergeCell ref="C572:D572"/>
    <mergeCell ref="C573:D573"/>
    <mergeCell ref="C566:D566"/>
    <mergeCell ref="C567:D567"/>
    <mergeCell ref="C568:D568"/>
    <mergeCell ref="C569:D569"/>
    <mergeCell ref="C570:D570"/>
    <mergeCell ref="C571:D571"/>
    <mergeCell ref="C560:D560"/>
    <mergeCell ref="C561:D561"/>
    <mergeCell ref="C562:D562"/>
    <mergeCell ref="C563:D563"/>
    <mergeCell ref="C564:D564"/>
    <mergeCell ref="C565:D565"/>
    <mergeCell ref="C554:D554"/>
    <mergeCell ref="C555:D555"/>
    <mergeCell ref="C556:D556"/>
    <mergeCell ref="C557:D557"/>
    <mergeCell ref="C558:D558"/>
    <mergeCell ref="C559:D559"/>
    <mergeCell ref="C548:D548"/>
    <mergeCell ref="C549:D549"/>
    <mergeCell ref="C550:D550"/>
    <mergeCell ref="C551:D551"/>
    <mergeCell ref="C552:D552"/>
    <mergeCell ref="C553:D553"/>
    <mergeCell ref="C542:D542"/>
    <mergeCell ref="C543:D543"/>
    <mergeCell ref="C544:D544"/>
    <mergeCell ref="C545:D545"/>
    <mergeCell ref="C546:D546"/>
    <mergeCell ref="C547:D547"/>
    <mergeCell ref="C536:D536"/>
    <mergeCell ref="C537:D537"/>
    <mergeCell ref="C538:D538"/>
    <mergeCell ref="C539:D539"/>
    <mergeCell ref="C540:D540"/>
    <mergeCell ref="C541:D541"/>
    <mergeCell ref="C530:D530"/>
    <mergeCell ref="C531:D531"/>
    <mergeCell ref="C532:D532"/>
    <mergeCell ref="C533:D533"/>
    <mergeCell ref="C534:D534"/>
    <mergeCell ref="C535:D535"/>
    <mergeCell ref="C524:D524"/>
    <mergeCell ref="C525:D525"/>
    <mergeCell ref="C526:D526"/>
    <mergeCell ref="C527:D527"/>
    <mergeCell ref="C528:D528"/>
    <mergeCell ref="C529:D529"/>
    <mergeCell ref="C518:D518"/>
    <mergeCell ref="C519:D519"/>
    <mergeCell ref="C520:D520"/>
    <mergeCell ref="C521:D521"/>
    <mergeCell ref="C522:D522"/>
    <mergeCell ref="C523:D523"/>
    <mergeCell ref="C512:D512"/>
    <mergeCell ref="C513:D513"/>
    <mergeCell ref="C514:D514"/>
    <mergeCell ref="C515:D515"/>
    <mergeCell ref="C516:D516"/>
    <mergeCell ref="C517:D517"/>
    <mergeCell ref="C506:D506"/>
    <mergeCell ref="C507:D507"/>
    <mergeCell ref="C508:D508"/>
    <mergeCell ref="C509:D509"/>
    <mergeCell ref="C510:D510"/>
    <mergeCell ref="C511:D511"/>
    <mergeCell ref="C500:D500"/>
    <mergeCell ref="C501:D501"/>
    <mergeCell ref="C502:D502"/>
    <mergeCell ref="C503:D503"/>
    <mergeCell ref="C504:D504"/>
    <mergeCell ref="C505:D505"/>
    <mergeCell ref="C494:D494"/>
    <mergeCell ref="C495:D495"/>
    <mergeCell ref="C496:D496"/>
    <mergeCell ref="C497:D497"/>
    <mergeCell ref="C498:D498"/>
    <mergeCell ref="C499:D499"/>
    <mergeCell ref="C488:D488"/>
    <mergeCell ref="C489:D489"/>
    <mergeCell ref="C490:D490"/>
    <mergeCell ref="C491:D491"/>
    <mergeCell ref="C492:D492"/>
    <mergeCell ref="C493:D493"/>
    <mergeCell ref="C482:D482"/>
    <mergeCell ref="C483:D483"/>
    <mergeCell ref="C484:D484"/>
    <mergeCell ref="C485:D485"/>
    <mergeCell ref="C486:D486"/>
    <mergeCell ref="C487:D487"/>
    <mergeCell ref="C476:D476"/>
    <mergeCell ref="C477:D477"/>
    <mergeCell ref="C478:D478"/>
    <mergeCell ref="C479:D479"/>
    <mergeCell ref="C480:D480"/>
    <mergeCell ref="C481:D481"/>
    <mergeCell ref="C470:D470"/>
    <mergeCell ref="C471:D471"/>
    <mergeCell ref="C472:D472"/>
    <mergeCell ref="C473:D473"/>
    <mergeCell ref="C474:D474"/>
    <mergeCell ref="C475:D475"/>
    <mergeCell ref="C464:D464"/>
    <mergeCell ref="C465:D465"/>
    <mergeCell ref="C466:D466"/>
    <mergeCell ref="C467:D467"/>
    <mergeCell ref="C468:D468"/>
    <mergeCell ref="C469:D469"/>
    <mergeCell ref="C458:D458"/>
    <mergeCell ref="C459:D459"/>
    <mergeCell ref="C460:D460"/>
    <mergeCell ref="C461:D461"/>
    <mergeCell ref="C462:D462"/>
    <mergeCell ref="C463:D463"/>
    <mergeCell ref="C452:D452"/>
    <mergeCell ref="C453:D453"/>
    <mergeCell ref="C454:D454"/>
    <mergeCell ref="C455:D455"/>
    <mergeCell ref="C456:D456"/>
    <mergeCell ref="C457:D457"/>
    <mergeCell ref="C446:D446"/>
    <mergeCell ref="C447:D447"/>
    <mergeCell ref="C448:D448"/>
    <mergeCell ref="C449:D449"/>
    <mergeCell ref="C450:D450"/>
    <mergeCell ref="C451:D451"/>
    <mergeCell ref="C440:D440"/>
    <mergeCell ref="C441:D441"/>
    <mergeCell ref="C442:D442"/>
    <mergeCell ref="C443:D443"/>
    <mergeCell ref="C444:D444"/>
    <mergeCell ref="C445:D445"/>
    <mergeCell ref="C434:D434"/>
    <mergeCell ref="C435:D435"/>
    <mergeCell ref="C436:D436"/>
    <mergeCell ref="C437:D437"/>
    <mergeCell ref="C438:D438"/>
    <mergeCell ref="C439:D439"/>
    <mergeCell ref="C428:D428"/>
    <mergeCell ref="C429:D429"/>
    <mergeCell ref="C430:D430"/>
    <mergeCell ref="C431:D431"/>
    <mergeCell ref="C432:D432"/>
    <mergeCell ref="C433:D433"/>
    <mergeCell ref="C422:D422"/>
    <mergeCell ref="C423:D423"/>
    <mergeCell ref="C424:D424"/>
    <mergeCell ref="C425:D425"/>
    <mergeCell ref="C426:D426"/>
    <mergeCell ref="C427:D427"/>
    <mergeCell ref="C416:D416"/>
    <mergeCell ref="C417:D417"/>
    <mergeCell ref="C418:D418"/>
    <mergeCell ref="C419:D419"/>
    <mergeCell ref="C420:D420"/>
    <mergeCell ref="C421:D421"/>
    <mergeCell ref="C410:D410"/>
    <mergeCell ref="C411:D411"/>
    <mergeCell ref="C412:D412"/>
    <mergeCell ref="C413:D413"/>
    <mergeCell ref="C414:D414"/>
    <mergeCell ref="C415:D415"/>
    <mergeCell ref="C404:D404"/>
    <mergeCell ref="C405:D405"/>
    <mergeCell ref="C406:D406"/>
    <mergeCell ref="C407:D407"/>
    <mergeCell ref="C408:D408"/>
    <mergeCell ref="C409:D409"/>
    <mergeCell ref="C398:D398"/>
    <mergeCell ref="C399:D399"/>
    <mergeCell ref="C400:D400"/>
    <mergeCell ref="C401:D401"/>
    <mergeCell ref="C402:D402"/>
    <mergeCell ref="C403:D403"/>
    <mergeCell ref="C392:D392"/>
    <mergeCell ref="C393:D393"/>
    <mergeCell ref="C394:D394"/>
    <mergeCell ref="C395:D395"/>
    <mergeCell ref="C396:D396"/>
    <mergeCell ref="C397:D397"/>
    <mergeCell ref="C386:D386"/>
    <mergeCell ref="C387:D387"/>
    <mergeCell ref="C388:D388"/>
    <mergeCell ref="C389:D389"/>
    <mergeCell ref="C390:D390"/>
    <mergeCell ref="C391:D391"/>
    <mergeCell ref="C380:D380"/>
    <mergeCell ref="C381:D381"/>
    <mergeCell ref="C382:D382"/>
    <mergeCell ref="C383:D383"/>
    <mergeCell ref="C384:D384"/>
    <mergeCell ref="C385:D385"/>
    <mergeCell ref="C374:D374"/>
    <mergeCell ref="C375:D375"/>
    <mergeCell ref="C376:D376"/>
    <mergeCell ref="C377:D377"/>
    <mergeCell ref="C378:D378"/>
    <mergeCell ref="C379:D379"/>
    <mergeCell ref="C368:D368"/>
    <mergeCell ref="C369:D369"/>
    <mergeCell ref="C370:D370"/>
    <mergeCell ref="C371:D371"/>
    <mergeCell ref="C372:D372"/>
    <mergeCell ref="C373:D373"/>
    <mergeCell ref="C362:D362"/>
    <mergeCell ref="C363:D363"/>
    <mergeCell ref="C364:D364"/>
    <mergeCell ref="C365:D365"/>
    <mergeCell ref="C366:D366"/>
    <mergeCell ref="C367:D367"/>
    <mergeCell ref="C356:D356"/>
    <mergeCell ref="C357:D357"/>
    <mergeCell ref="C358:D358"/>
    <mergeCell ref="C359:D359"/>
    <mergeCell ref="C360:D360"/>
    <mergeCell ref="C361:D361"/>
    <mergeCell ref="C350:D350"/>
    <mergeCell ref="C351:D351"/>
    <mergeCell ref="C352:D352"/>
    <mergeCell ref="C353:D353"/>
    <mergeCell ref="C354:D354"/>
    <mergeCell ref="C355:D355"/>
    <mergeCell ref="C344:D344"/>
    <mergeCell ref="C345:D345"/>
    <mergeCell ref="C346:D346"/>
    <mergeCell ref="C347:D347"/>
    <mergeCell ref="C348:D348"/>
    <mergeCell ref="C349:D349"/>
    <mergeCell ref="C338:D338"/>
    <mergeCell ref="C339:D339"/>
    <mergeCell ref="C340:D340"/>
    <mergeCell ref="C341:D341"/>
    <mergeCell ref="C342:D342"/>
    <mergeCell ref="C343:D343"/>
    <mergeCell ref="C332:D332"/>
    <mergeCell ref="C333:D333"/>
    <mergeCell ref="C334:D334"/>
    <mergeCell ref="C335:D335"/>
    <mergeCell ref="C336:D336"/>
    <mergeCell ref="C337:D337"/>
    <mergeCell ref="C326:D326"/>
    <mergeCell ref="C327:D327"/>
    <mergeCell ref="C328:D328"/>
    <mergeCell ref="C329:D329"/>
    <mergeCell ref="C330:D330"/>
    <mergeCell ref="C331:D331"/>
    <mergeCell ref="C320:D320"/>
    <mergeCell ref="C321:D321"/>
    <mergeCell ref="C322:D322"/>
    <mergeCell ref="C323:D323"/>
    <mergeCell ref="C324:D324"/>
    <mergeCell ref="C325:D325"/>
    <mergeCell ref="C314:D314"/>
    <mergeCell ref="C315:D315"/>
    <mergeCell ref="C316:D316"/>
    <mergeCell ref="C317:D317"/>
    <mergeCell ref="C318:D318"/>
    <mergeCell ref="C319:D319"/>
    <mergeCell ref="C308:D308"/>
    <mergeCell ref="C309:D309"/>
    <mergeCell ref="C310:D310"/>
    <mergeCell ref="C311:D311"/>
    <mergeCell ref="C312:D312"/>
    <mergeCell ref="C313:D313"/>
    <mergeCell ref="C302:D302"/>
    <mergeCell ref="C303:D303"/>
    <mergeCell ref="C304:D304"/>
    <mergeCell ref="C305:D305"/>
    <mergeCell ref="C306:D306"/>
    <mergeCell ref="C307:D307"/>
    <mergeCell ref="C296:D296"/>
    <mergeCell ref="C297:D297"/>
    <mergeCell ref="C298:D298"/>
    <mergeCell ref="C299:D299"/>
    <mergeCell ref="C300:D300"/>
    <mergeCell ref="C301:D301"/>
    <mergeCell ref="C290:D290"/>
    <mergeCell ref="C291:D291"/>
    <mergeCell ref="C292:D292"/>
    <mergeCell ref="C293:D293"/>
    <mergeCell ref="C294:D294"/>
    <mergeCell ref="C295:D295"/>
    <mergeCell ref="C284:D284"/>
    <mergeCell ref="C285:D285"/>
    <mergeCell ref="C286:D286"/>
    <mergeCell ref="C287:D287"/>
    <mergeCell ref="C288:D288"/>
    <mergeCell ref="C289:D289"/>
    <mergeCell ref="C278:D278"/>
    <mergeCell ref="C279:D279"/>
    <mergeCell ref="C280:D280"/>
    <mergeCell ref="C281:D281"/>
    <mergeCell ref="C282:D282"/>
    <mergeCell ref="C283:D283"/>
    <mergeCell ref="C272:D272"/>
    <mergeCell ref="C273:D273"/>
    <mergeCell ref="C274:D274"/>
    <mergeCell ref="C275:D275"/>
    <mergeCell ref="C276:D276"/>
    <mergeCell ref="C277:D277"/>
    <mergeCell ref="C266:D266"/>
    <mergeCell ref="C267:D267"/>
    <mergeCell ref="C268:D268"/>
    <mergeCell ref="C269:D269"/>
    <mergeCell ref="C270:D270"/>
    <mergeCell ref="C271:D271"/>
    <mergeCell ref="C260:D260"/>
    <mergeCell ref="C261:D261"/>
    <mergeCell ref="C262:D262"/>
    <mergeCell ref="C263:D263"/>
    <mergeCell ref="C264:D264"/>
    <mergeCell ref="C265:D265"/>
    <mergeCell ref="C254:D254"/>
    <mergeCell ref="C255:D255"/>
    <mergeCell ref="C256:D256"/>
    <mergeCell ref="C257:D257"/>
    <mergeCell ref="C258:D258"/>
    <mergeCell ref="C259:D259"/>
    <mergeCell ref="C248:D248"/>
    <mergeCell ref="C249:D249"/>
    <mergeCell ref="C250:D250"/>
    <mergeCell ref="C251:D251"/>
    <mergeCell ref="C252:D252"/>
    <mergeCell ref="C253:D253"/>
    <mergeCell ref="C242:D242"/>
    <mergeCell ref="C243:D243"/>
    <mergeCell ref="C244:D244"/>
    <mergeCell ref="C245:D245"/>
    <mergeCell ref="C246:D246"/>
    <mergeCell ref="C247:D247"/>
    <mergeCell ref="C236:D236"/>
    <mergeCell ref="C237:D237"/>
    <mergeCell ref="C238:D238"/>
    <mergeCell ref="C239:D239"/>
    <mergeCell ref="C240:D240"/>
    <mergeCell ref="C241:D241"/>
    <mergeCell ref="C230:D230"/>
    <mergeCell ref="C231:D231"/>
    <mergeCell ref="C232:D232"/>
    <mergeCell ref="C233:D233"/>
    <mergeCell ref="C234:D234"/>
    <mergeCell ref="C235:D235"/>
    <mergeCell ref="C224:D224"/>
    <mergeCell ref="C225:D225"/>
    <mergeCell ref="C226:D226"/>
    <mergeCell ref="C227:D227"/>
    <mergeCell ref="C228:D228"/>
    <mergeCell ref="C229:D229"/>
    <mergeCell ref="C218:D218"/>
    <mergeCell ref="C219:D219"/>
    <mergeCell ref="C220:D220"/>
    <mergeCell ref="C221:D221"/>
    <mergeCell ref="C222:D222"/>
    <mergeCell ref="C223:D223"/>
    <mergeCell ref="C212:D212"/>
    <mergeCell ref="C213:D213"/>
    <mergeCell ref="C214:D214"/>
    <mergeCell ref="C215:D215"/>
    <mergeCell ref="C216:D216"/>
    <mergeCell ref="C217:D217"/>
    <mergeCell ref="C206:D206"/>
    <mergeCell ref="C207:D207"/>
    <mergeCell ref="C208:D208"/>
    <mergeCell ref="C209:D209"/>
    <mergeCell ref="C210:D210"/>
    <mergeCell ref="C211:D211"/>
    <mergeCell ref="C200:D200"/>
    <mergeCell ref="C201:D201"/>
    <mergeCell ref="C202:D202"/>
    <mergeCell ref="C203:D203"/>
    <mergeCell ref="C204:D204"/>
    <mergeCell ref="C205:D205"/>
    <mergeCell ref="C194:D194"/>
    <mergeCell ref="C195:D195"/>
    <mergeCell ref="C196:D196"/>
    <mergeCell ref="C197:D197"/>
    <mergeCell ref="C198:D198"/>
    <mergeCell ref="C199:D199"/>
    <mergeCell ref="C188:D188"/>
    <mergeCell ref="C189:D189"/>
    <mergeCell ref="C190:D190"/>
    <mergeCell ref="C191:D191"/>
    <mergeCell ref="C192:D192"/>
    <mergeCell ref="C193:D193"/>
    <mergeCell ref="C182:D182"/>
    <mergeCell ref="C183:D183"/>
    <mergeCell ref="C184:D184"/>
    <mergeCell ref="C185:D185"/>
    <mergeCell ref="C186:D186"/>
    <mergeCell ref="C187:D187"/>
    <mergeCell ref="C176:D176"/>
    <mergeCell ref="C177:D177"/>
    <mergeCell ref="C178:D178"/>
    <mergeCell ref="C179:D179"/>
    <mergeCell ref="C180:D180"/>
    <mergeCell ref="C181:D181"/>
    <mergeCell ref="C170:D170"/>
    <mergeCell ref="C171:D171"/>
    <mergeCell ref="C172:D172"/>
    <mergeCell ref="C173:D173"/>
    <mergeCell ref="C174:D174"/>
    <mergeCell ref="C175:D175"/>
    <mergeCell ref="C164:D164"/>
    <mergeCell ref="C165:D165"/>
    <mergeCell ref="C166:D166"/>
    <mergeCell ref="C167:D167"/>
    <mergeCell ref="C168:D168"/>
    <mergeCell ref="C169:D169"/>
    <mergeCell ref="C158:D158"/>
    <mergeCell ref="C159:D159"/>
    <mergeCell ref="C160:D160"/>
    <mergeCell ref="C161:D161"/>
    <mergeCell ref="C162:D162"/>
    <mergeCell ref="C163:D163"/>
    <mergeCell ref="C152:D152"/>
    <mergeCell ref="C153:D153"/>
    <mergeCell ref="C154:D154"/>
    <mergeCell ref="C155:D155"/>
    <mergeCell ref="C156:D156"/>
    <mergeCell ref="C157:D157"/>
    <mergeCell ref="C146:D146"/>
    <mergeCell ref="C147:D147"/>
    <mergeCell ref="C148:D148"/>
    <mergeCell ref="C149:D149"/>
    <mergeCell ref="C150:D150"/>
    <mergeCell ref="C151:D151"/>
    <mergeCell ref="C140:D140"/>
    <mergeCell ref="C141:D141"/>
    <mergeCell ref="C142:D142"/>
    <mergeCell ref="C143:D143"/>
    <mergeCell ref="C144:D144"/>
    <mergeCell ref="C145:D145"/>
    <mergeCell ref="C134:D134"/>
    <mergeCell ref="C135:D135"/>
    <mergeCell ref="C136:D136"/>
    <mergeCell ref="C137:D137"/>
    <mergeCell ref="C138:D138"/>
    <mergeCell ref="C139:D139"/>
    <mergeCell ref="C128:D128"/>
    <mergeCell ref="C129:D129"/>
    <mergeCell ref="C130:D130"/>
    <mergeCell ref="C131:D131"/>
    <mergeCell ref="C132:D132"/>
    <mergeCell ref="C133:D133"/>
    <mergeCell ref="C122:D122"/>
    <mergeCell ref="C123:D123"/>
    <mergeCell ref="C124:D124"/>
    <mergeCell ref="C125:D125"/>
    <mergeCell ref="C126:D126"/>
    <mergeCell ref="C127:D127"/>
    <mergeCell ref="C116:D116"/>
    <mergeCell ref="C117:D117"/>
    <mergeCell ref="C118:D118"/>
    <mergeCell ref="C119:D119"/>
    <mergeCell ref="C120:D120"/>
    <mergeCell ref="C121:D121"/>
    <mergeCell ref="C110:D110"/>
    <mergeCell ref="C111:D111"/>
    <mergeCell ref="C112:D112"/>
    <mergeCell ref="C113:D113"/>
    <mergeCell ref="C114:D114"/>
    <mergeCell ref="C115:D115"/>
    <mergeCell ref="C104:D104"/>
    <mergeCell ref="C105:D105"/>
    <mergeCell ref="C106:D106"/>
    <mergeCell ref="C107:D107"/>
    <mergeCell ref="C108:D108"/>
    <mergeCell ref="C109:D109"/>
    <mergeCell ref="C98:D98"/>
    <mergeCell ref="C99:D99"/>
    <mergeCell ref="C100:D100"/>
    <mergeCell ref="C101:D101"/>
    <mergeCell ref="C102:D102"/>
    <mergeCell ref="C103:D103"/>
    <mergeCell ref="C92:D92"/>
    <mergeCell ref="C93:D93"/>
    <mergeCell ref="C94:D94"/>
    <mergeCell ref="C95:D95"/>
    <mergeCell ref="C96:D96"/>
    <mergeCell ref="C97:D97"/>
    <mergeCell ref="C86:D86"/>
    <mergeCell ref="C87:D87"/>
    <mergeCell ref="C88:D88"/>
    <mergeCell ref="C89:D89"/>
    <mergeCell ref="C90:D90"/>
    <mergeCell ref="C91:D91"/>
    <mergeCell ref="C80:D80"/>
    <mergeCell ref="C81:D81"/>
    <mergeCell ref="C82:D82"/>
    <mergeCell ref="C83:D83"/>
    <mergeCell ref="C84:D84"/>
    <mergeCell ref="C85:D85"/>
    <mergeCell ref="C74:D74"/>
    <mergeCell ref="C75:D75"/>
    <mergeCell ref="C76:D76"/>
    <mergeCell ref="C77:D77"/>
    <mergeCell ref="C78:D78"/>
    <mergeCell ref="C79:D79"/>
    <mergeCell ref="C68:D68"/>
    <mergeCell ref="C69:D69"/>
    <mergeCell ref="C70:D70"/>
    <mergeCell ref="C71:D71"/>
    <mergeCell ref="C72:D72"/>
    <mergeCell ref="C73:D73"/>
    <mergeCell ref="C62:D62"/>
    <mergeCell ref="C63:D63"/>
    <mergeCell ref="C64:D64"/>
    <mergeCell ref="C65:D65"/>
    <mergeCell ref="C66:D66"/>
    <mergeCell ref="C67:D67"/>
    <mergeCell ref="C56:D56"/>
    <mergeCell ref="C57:D57"/>
    <mergeCell ref="C58:D58"/>
    <mergeCell ref="C59:D59"/>
    <mergeCell ref="C60:D60"/>
    <mergeCell ref="C61:D61"/>
    <mergeCell ref="C50:D50"/>
    <mergeCell ref="C51:D51"/>
    <mergeCell ref="C52:D52"/>
    <mergeCell ref="C53:D53"/>
    <mergeCell ref="C54:D54"/>
    <mergeCell ref="C55:D55"/>
    <mergeCell ref="C44:D44"/>
    <mergeCell ref="C45:D45"/>
    <mergeCell ref="C46:D46"/>
    <mergeCell ref="C47:D47"/>
    <mergeCell ref="C48:D48"/>
    <mergeCell ref="C49:D49"/>
    <mergeCell ref="C38:D38"/>
    <mergeCell ref="C39:D39"/>
    <mergeCell ref="C40:D40"/>
    <mergeCell ref="C41:D41"/>
    <mergeCell ref="C42:D42"/>
    <mergeCell ref="C43:D43"/>
    <mergeCell ref="C32:D32"/>
    <mergeCell ref="C33:D33"/>
    <mergeCell ref="C34:D34"/>
    <mergeCell ref="C35:D35"/>
    <mergeCell ref="C36:D36"/>
    <mergeCell ref="C37:D37"/>
    <mergeCell ref="C26:D26"/>
    <mergeCell ref="C27:D27"/>
    <mergeCell ref="C28:D28"/>
    <mergeCell ref="C29:D29"/>
    <mergeCell ref="C30:D30"/>
    <mergeCell ref="C31:D31"/>
    <mergeCell ref="C19:D19"/>
    <mergeCell ref="C21:D21"/>
    <mergeCell ref="C22:D22"/>
    <mergeCell ref="C23:D23"/>
    <mergeCell ref="C24:D24"/>
    <mergeCell ref="C25:D25"/>
    <mergeCell ref="N7:O7"/>
    <mergeCell ref="L7:M7"/>
    <mergeCell ref="J7:K7"/>
    <mergeCell ref="H7:I7"/>
    <mergeCell ref="C574:D574"/>
    <mergeCell ref="C582:D582"/>
    <mergeCell ref="C9:D9"/>
    <mergeCell ref="C11:D11"/>
    <mergeCell ref="C13:D13"/>
    <mergeCell ref="C14:D14"/>
    <mergeCell ref="Z7:AA7"/>
    <mergeCell ref="X7:Y7"/>
    <mergeCell ref="V7:W7"/>
    <mergeCell ref="T7:U7"/>
    <mergeCell ref="R7:S7"/>
    <mergeCell ref="P7:Q7"/>
    <mergeCell ref="C20:D20"/>
    <mergeCell ref="C6:D8"/>
    <mergeCell ref="C10:D10"/>
    <mergeCell ref="C12:D12"/>
    <mergeCell ref="B2:D2"/>
    <mergeCell ref="B6:B8"/>
    <mergeCell ref="C15:D15"/>
    <mergeCell ref="C16:D16"/>
    <mergeCell ref="C17:D17"/>
    <mergeCell ref="C18:D18"/>
    <mergeCell ref="AG6:AG8"/>
    <mergeCell ref="E6:E8"/>
    <mergeCell ref="B4:AH4"/>
    <mergeCell ref="AH6:AH8"/>
    <mergeCell ref="AF6:AF8"/>
    <mergeCell ref="F7:G7"/>
    <mergeCell ref="F6:AE6"/>
    <mergeCell ref="AD7:AE7"/>
    <mergeCell ref="AB7:AC7"/>
  </mergeCells>
  <phoneticPr fontId="5" type="noConversion"/>
  <printOptions horizontalCentered="1"/>
  <pageMargins left="0.196850393700787" right="0.196850393700787" top="0.196850393700787" bottom="0.39370078740157499" header="0" footer="0.196850393700787"/>
  <pageSetup paperSize="9" fitToHeight="100" orientation="landscape" blackAndWhite="1" r:id="rId1"/>
  <headerFooter alignWithMargins="0"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AccountClientSumBalance-2</vt:lpstr>
      <vt:lpstr>'AccountClientSumBalance-2'!Область_печати</vt:lpstr>
    </vt:vector>
  </TitlesOfParts>
  <Company>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Ольдер</dc:creator>
  <cp:lastModifiedBy>Александр Ольдер</cp:lastModifiedBy>
  <cp:lastPrinted>2018-08-29T11:58:06Z</cp:lastPrinted>
  <dcterms:created xsi:type="dcterms:W3CDTF">2002-07-03T12:40:26Z</dcterms:created>
  <dcterms:modified xsi:type="dcterms:W3CDTF">2026-02-12T13:25:40Z</dcterms:modified>
</cp:coreProperties>
</file>